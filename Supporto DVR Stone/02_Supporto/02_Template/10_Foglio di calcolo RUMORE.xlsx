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7"/>
  <workbookPr/>
  <mc:AlternateContent xmlns:mc="http://schemas.openxmlformats.org/markup-compatibility/2006">
    <mc:Choice Requires="x15">
      <x15ac:absPath xmlns:x15ac="http://schemas.microsoft.com/office/spreadsheetml/2010/11/ac" url="C:\Users\LucaAllevi\Desktop\"/>
    </mc:Choice>
  </mc:AlternateContent>
  <xr:revisionPtr revIDLastSave="8" documentId="13_ncr:1_{180E800E-E9B1-46A8-8F31-D55FB58F3822}" xr6:coauthVersionLast="47" xr6:coauthVersionMax="47" xr10:uidLastSave="{2E594451-19D6-4EFE-804A-1E6B3620F042}"/>
  <workbookProtection workbookAlgorithmName="SHA-512" workbookHashValue="j1RvZWer5mAO4tX4rSJfds+3HJk49GLK8vs9jeUM7zDK3F4cgRs6dPM9esAQVJX2Gsb4kk7MlMkUB4yjU7tK3Q==" workbookSaltValue="Usg9I+yX+otmedZUV3pb5g==" workbookSpinCount="100000" lockStructure="1"/>
  <bookViews>
    <workbookView xWindow="40920" yWindow="-120" windowWidth="29040" windowHeight="16440" tabRatio="777" xr2:uid="{00000000-000D-0000-FFFF-FFFF00000000}"/>
  </bookViews>
  <sheets>
    <sheet name="PM" sheetId="3" r:id="rId1"/>
    <sheet name="Calcolo incertezza U(LEX,8h)" sheetId="4" r:id="rId2"/>
    <sheet name="Tab. riassuntiva LEX,8h" sheetId="5" r:id="rId3"/>
    <sheet name="L'EX,8hmax esp. giorn. con DPI" sheetId="6" r:id="rId4"/>
    <sheet name="Tab. riassuntiva L'EX,8h" sheetId="8" r:id="rId5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84" i="3" l="1"/>
  <c r="D283" i="3"/>
  <c r="D10" i="3"/>
  <c r="D122" i="3"/>
  <c r="D476" i="3"/>
  <c r="D475" i="3"/>
  <c r="D474" i="3"/>
  <c r="D460" i="3"/>
  <c r="D459" i="3"/>
  <c r="D458" i="3"/>
  <c r="D444" i="3"/>
  <c r="D443" i="3"/>
  <c r="D442" i="3"/>
  <c r="D428" i="3"/>
  <c r="D427" i="3"/>
  <c r="D426" i="3"/>
  <c r="D412" i="3"/>
  <c r="D411" i="3"/>
  <c r="D396" i="3"/>
  <c r="D395" i="3"/>
  <c r="D394" i="3"/>
  <c r="D380" i="3"/>
  <c r="D379" i="3"/>
  <c r="D378" i="3"/>
  <c r="D364" i="3"/>
  <c r="D363" i="3"/>
  <c r="D362" i="3"/>
  <c r="D348" i="3"/>
  <c r="D347" i="3"/>
  <c r="D346" i="3"/>
  <c r="D332" i="3"/>
  <c r="D331" i="3"/>
  <c r="D330" i="3"/>
  <c r="D316" i="3"/>
  <c r="D315" i="3"/>
  <c r="D314" i="3"/>
  <c r="D300" i="3"/>
  <c r="D299" i="3"/>
  <c r="D298" i="3"/>
  <c r="D268" i="3"/>
  <c r="D267" i="3"/>
  <c r="D266" i="3"/>
  <c r="D252" i="3"/>
  <c r="D251" i="3"/>
  <c r="D250" i="3"/>
  <c r="D236" i="3"/>
  <c r="D235" i="3"/>
  <c r="D234" i="3"/>
  <c r="D220" i="3"/>
  <c r="D219" i="3"/>
  <c r="D218" i="3"/>
  <c r="D204" i="3"/>
  <c r="D203" i="3"/>
  <c r="D202" i="3"/>
  <c r="D188" i="3"/>
  <c r="D187" i="3"/>
  <c r="D186" i="3"/>
  <c r="D172" i="3"/>
  <c r="D171" i="3"/>
  <c r="D170" i="3"/>
  <c r="D156" i="3"/>
  <c r="D155" i="3"/>
  <c r="D154" i="3"/>
  <c r="D140" i="3"/>
  <c r="D139" i="3"/>
  <c r="D138" i="3"/>
  <c r="D124" i="3"/>
  <c r="D123" i="3"/>
  <c r="D108" i="3"/>
  <c r="D107" i="3"/>
  <c r="D106" i="3"/>
  <c r="D92" i="3"/>
  <c r="D91" i="3"/>
  <c r="D90" i="3"/>
  <c r="D76" i="3"/>
  <c r="D75" i="3"/>
  <c r="D74" i="3"/>
  <c r="D60" i="3"/>
  <c r="D59" i="3"/>
  <c r="D58" i="3"/>
  <c r="D410" i="3"/>
  <c r="D282" i="3"/>
  <c r="D44" i="3"/>
  <c r="D43" i="3"/>
  <c r="D42" i="3"/>
  <c r="D28" i="3"/>
  <c r="D27" i="3"/>
  <c r="D26" i="3"/>
  <c r="D12" i="3"/>
  <c r="D11" i="3"/>
  <c r="D16" i="3"/>
  <c r="K476" i="3"/>
  <c r="K475" i="3"/>
  <c r="K474" i="3"/>
  <c r="I476" i="3"/>
  <c r="I475" i="3"/>
  <c r="I474" i="3"/>
  <c r="G476" i="3"/>
  <c r="G475" i="3"/>
  <c r="G474" i="3"/>
  <c r="K460" i="3"/>
  <c r="K459" i="3"/>
  <c r="K458" i="3"/>
  <c r="I460" i="3"/>
  <c r="I459" i="3"/>
  <c r="I458" i="3"/>
  <c r="G460" i="3"/>
  <c r="G459" i="3"/>
  <c r="G458" i="3"/>
  <c r="K444" i="3"/>
  <c r="K443" i="3"/>
  <c r="K442" i="3"/>
  <c r="I444" i="3"/>
  <c r="I443" i="3"/>
  <c r="I442" i="3"/>
  <c r="G444" i="3"/>
  <c r="G443" i="3"/>
  <c r="G442" i="3"/>
  <c r="K428" i="3"/>
  <c r="K427" i="3"/>
  <c r="K426" i="3"/>
  <c r="I428" i="3"/>
  <c r="I427" i="3"/>
  <c r="I426" i="3"/>
  <c r="G428" i="3"/>
  <c r="G427" i="3"/>
  <c r="G426" i="3"/>
  <c r="K412" i="3"/>
  <c r="K411" i="3"/>
  <c r="K410" i="3"/>
  <c r="I412" i="3"/>
  <c r="I411" i="3"/>
  <c r="I410" i="3"/>
  <c r="G412" i="3"/>
  <c r="G410" i="3"/>
  <c r="G411" i="3"/>
  <c r="K396" i="3"/>
  <c r="K395" i="3"/>
  <c r="K394" i="3"/>
  <c r="I396" i="3"/>
  <c r="I395" i="3"/>
  <c r="I394" i="3"/>
  <c r="G396" i="3"/>
  <c r="G395" i="3"/>
  <c r="G394" i="3"/>
  <c r="I380" i="3"/>
  <c r="K380" i="3"/>
  <c r="K379" i="3"/>
  <c r="K378" i="3"/>
  <c r="I379" i="3"/>
  <c r="I378" i="3"/>
  <c r="G380" i="3"/>
  <c r="G379" i="3"/>
  <c r="G378" i="3"/>
  <c r="K364" i="3"/>
  <c r="K363" i="3"/>
  <c r="K362" i="3"/>
  <c r="I364" i="3"/>
  <c r="I363" i="3"/>
  <c r="I362" i="3"/>
  <c r="G364" i="3"/>
  <c r="G363" i="3"/>
  <c r="G362" i="3"/>
  <c r="K348" i="3"/>
  <c r="K347" i="3"/>
  <c r="K346" i="3"/>
  <c r="I348" i="3"/>
  <c r="I347" i="3"/>
  <c r="I346" i="3"/>
  <c r="G348" i="3"/>
  <c r="G347" i="3"/>
  <c r="G346" i="3"/>
  <c r="K331" i="3"/>
  <c r="K332" i="3"/>
  <c r="K330" i="3"/>
  <c r="I332" i="3"/>
  <c r="I331" i="3"/>
  <c r="I330" i="3"/>
  <c r="G332" i="3"/>
  <c r="G331" i="3"/>
  <c r="G330" i="3"/>
  <c r="K316" i="3"/>
  <c r="K315" i="3"/>
  <c r="K314" i="3"/>
  <c r="I316" i="3"/>
  <c r="I315" i="3"/>
  <c r="I314" i="3"/>
  <c r="G316" i="3"/>
  <c r="G315" i="3"/>
  <c r="G314" i="3"/>
  <c r="K299" i="3"/>
  <c r="K300" i="3"/>
  <c r="K298" i="3"/>
  <c r="I300" i="3"/>
  <c r="I299" i="3"/>
  <c r="I298" i="3"/>
  <c r="G300" i="3"/>
  <c r="G299" i="3"/>
  <c r="G298" i="3"/>
  <c r="I284" i="3"/>
  <c r="K284" i="3"/>
  <c r="K283" i="3"/>
  <c r="K282" i="3"/>
  <c r="I283" i="3"/>
  <c r="I282" i="3"/>
  <c r="G284" i="3"/>
  <c r="G283" i="3"/>
  <c r="G282" i="3"/>
  <c r="K267" i="3"/>
  <c r="I268" i="3"/>
  <c r="K268" i="3"/>
  <c r="K266" i="3"/>
  <c r="I267" i="3"/>
  <c r="I266" i="3"/>
  <c r="G268" i="3"/>
  <c r="G267" i="3"/>
  <c r="G266" i="3"/>
  <c r="K252" i="3"/>
  <c r="K251" i="3"/>
  <c r="K250" i="3"/>
  <c r="I252" i="3"/>
  <c r="I251" i="3"/>
  <c r="I250" i="3"/>
  <c r="G252" i="3"/>
  <c r="G251" i="3"/>
  <c r="G250" i="3"/>
  <c r="K236" i="3"/>
  <c r="K235" i="3"/>
  <c r="K234" i="3"/>
  <c r="I236" i="3"/>
  <c r="I235" i="3"/>
  <c r="I234" i="3"/>
  <c r="G236" i="3"/>
  <c r="G235" i="3"/>
  <c r="G234" i="3"/>
  <c r="K218" i="3"/>
  <c r="K220" i="3"/>
  <c r="K219" i="3"/>
  <c r="I220" i="3"/>
  <c r="I219" i="3"/>
  <c r="I218" i="3"/>
  <c r="G220" i="3"/>
  <c r="G219" i="3"/>
  <c r="G218" i="3"/>
  <c r="K204" i="3"/>
  <c r="K203" i="3"/>
  <c r="K202" i="3"/>
  <c r="I204" i="3"/>
  <c r="I203" i="3"/>
  <c r="I202" i="3"/>
  <c r="G204" i="3"/>
  <c r="G203" i="3"/>
  <c r="G202" i="3"/>
  <c r="K188" i="3"/>
  <c r="K187" i="3"/>
  <c r="K186" i="3"/>
  <c r="I188" i="3"/>
  <c r="I187" i="3"/>
  <c r="I186" i="3"/>
  <c r="G188" i="3"/>
  <c r="G187" i="3"/>
  <c r="G186" i="3"/>
  <c r="K172" i="3"/>
  <c r="K171" i="3"/>
  <c r="K170" i="3"/>
  <c r="I172" i="3"/>
  <c r="I171" i="3"/>
  <c r="I170" i="3"/>
  <c r="G172" i="3"/>
  <c r="G171" i="3"/>
  <c r="G170" i="3"/>
  <c r="K156" i="3"/>
  <c r="K155" i="3"/>
  <c r="K154" i="3"/>
  <c r="I156" i="3"/>
  <c r="I155" i="3"/>
  <c r="I154" i="3"/>
  <c r="G156" i="3"/>
  <c r="G155" i="3"/>
  <c r="G154" i="3"/>
  <c r="K140" i="3"/>
  <c r="K139" i="3"/>
  <c r="K138" i="3"/>
  <c r="I140" i="3"/>
  <c r="I139" i="3"/>
  <c r="I138" i="3"/>
  <c r="G140" i="3"/>
  <c r="G139" i="3"/>
  <c r="G138" i="3"/>
  <c r="K124" i="3"/>
  <c r="K123" i="3"/>
  <c r="K122" i="3"/>
  <c r="I124" i="3"/>
  <c r="I123" i="3"/>
  <c r="I122" i="3"/>
  <c r="G124" i="3"/>
  <c r="G123" i="3"/>
  <c r="G122" i="3"/>
  <c r="K108" i="3"/>
  <c r="K107" i="3"/>
  <c r="K106" i="3"/>
  <c r="I108" i="3"/>
  <c r="I107" i="3"/>
  <c r="I106" i="3"/>
  <c r="G108" i="3"/>
  <c r="G107" i="3"/>
  <c r="G106" i="3"/>
  <c r="K90" i="3"/>
  <c r="K92" i="3"/>
  <c r="K91" i="3"/>
  <c r="I92" i="3"/>
  <c r="I91" i="3"/>
  <c r="I90" i="3"/>
  <c r="G92" i="3"/>
  <c r="G91" i="3"/>
  <c r="G90" i="3"/>
  <c r="K76" i="3"/>
  <c r="K75" i="3"/>
  <c r="K74" i="3"/>
  <c r="I76" i="3"/>
  <c r="I75" i="3"/>
  <c r="I74" i="3"/>
  <c r="G76" i="3"/>
  <c r="G75" i="3"/>
  <c r="G74" i="3"/>
  <c r="K60" i="3"/>
  <c r="K59" i="3"/>
  <c r="K58" i="3"/>
  <c r="I60" i="3"/>
  <c r="I59" i="3"/>
  <c r="I58" i="3"/>
  <c r="G60" i="3"/>
  <c r="G59" i="3"/>
  <c r="G58" i="3"/>
  <c r="K44" i="3"/>
  <c r="K43" i="3"/>
  <c r="K42" i="3"/>
  <c r="I44" i="3"/>
  <c r="I43" i="3"/>
  <c r="I42" i="3"/>
  <c r="G44" i="3"/>
  <c r="G43" i="3"/>
  <c r="G42" i="3"/>
  <c r="K28" i="3"/>
  <c r="K27" i="3"/>
  <c r="K26" i="3"/>
  <c r="I28" i="3"/>
  <c r="I27" i="3"/>
  <c r="I26" i="3"/>
  <c r="G28" i="3"/>
  <c r="G27" i="3"/>
  <c r="G26" i="3"/>
  <c r="G10" i="3"/>
  <c r="I11" i="3"/>
  <c r="K12" i="3"/>
  <c r="K11" i="3"/>
  <c r="K10" i="3"/>
  <c r="I12" i="3"/>
  <c r="I10" i="3"/>
  <c r="G12" i="3"/>
  <c r="G11" i="3"/>
  <c r="G13" i="3"/>
  <c r="D480" i="3"/>
  <c r="D464" i="3"/>
  <c r="D448" i="3"/>
  <c r="D432" i="3"/>
  <c r="D416" i="3"/>
  <c r="D400" i="3"/>
  <c r="D384" i="3"/>
  <c r="D368" i="3"/>
  <c r="D352" i="3"/>
  <c r="D336" i="3"/>
  <c r="D320" i="3"/>
  <c r="D304" i="3"/>
  <c r="D288" i="3"/>
  <c r="D272" i="3"/>
  <c r="D256" i="3"/>
  <c r="D240" i="3"/>
  <c r="D224" i="3"/>
  <c r="D208" i="3"/>
  <c r="D192" i="3"/>
  <c r="D176" i="3"/>
  <c r="D160" i="3"/>
  <c r="D144" i="3"/>
  <c r="D128" i="3"/>
  <c r="D112" i="3"/>
  <c r="D96" i="3"/>
  <c r="D80" i="3"/>
  <c r="D64" i="3"/>
  <c r="D48" i="3"/>
  <c r="D32" i="3"/>
  <c r="R4" i="3"/>
  <c r="R6" i="3"/>
  <c r="T6" i="3"/>
  <c r="T14" i="3"/>
  <c r="T10" i="3"/>
  <c r="G5" i="4"/>
  <c r="K5" i="4"/>
  <c r="L5" i="4"/>
  <c r="G29" i="3"/>
  <c r="G6" i="4"/>
  <c r="K6" i="4"/>
  <c r="L6" i="4"/>
  <c r="F7" i="4"/>
  <c r="G45" i="3"/>
  <c r="G7" i="4"/>
  <c r="K7" i="4"/>
  <c r="L7" i="4"/>
  <c r="M7" i="4"/>
  <c r="F8" i="4"/>
  <c r="G61" i="3"/>
  <c r="G8" i="4"/>
  <c r="K8" i="4"/>
  <c r="L8" i="4"/>
  <c r="M8" i="4"/>
  <c r="F9" i="4"/>
  <c r="G77" i="3"/>
  <c r="G9" i="4"/>
  <c r="K9" i="4"/>
  <c r="L9" i="4"/>
  <c r="M9" i="4"/>
  <c r="F10" i="4"/>
  <c r="G93" i="3"/>
  <c r="G10" i="4"/>
  <c r="K10" i="4"/>
  <c r="L10" i="4"/>
  <c r="M10" i="4"/>
  <c r="F11" i="4"/>
  <c r="G109" i="3"/>
  <c r="G11" i="4"/>
  <c r="K11" i="4"/>
  <c r="L11" i="4"/>
  <c r="M11" i="4"/>
  <c r="F12" i="4"/>
  <c r="G125" i="3"/>
  <c r="G12" i="4"/>
  <c r="K12" i="4"/>
  <c r="L12" i="4"/>
  <c r="M12" i="4"/>
  <c r="F13" i="4"/>
  <c r="G141" i="3"/>
  <c r="G13" i="4"/>
  <c r="K13" i="4"/>
  <c r="L13" i="4"/>
  <c r="M13" i="4"/>
  <c r="F14" i="4"/>
  <c r="G157" i="3"/>
  <c r="G14" i="4"/>
  <c r="K14" i="4"/>
  <c r="L14" i="4"/>
  <c r="M14" i="4"/>
  <c r="F15" i="4"/>
  <c r="G173" i="3"/>
  <c r="G15" i="4"/>
  <c r="K15" i="4"/>
  <c r="L15" i="4"/>
  <c r="M15" i="4"/>
  <c r="F16" i="4"/>
  <c r="G189" i="3"/>
  <c r="G16" i="4"/>
  <c r="K16" i="4"/>
  <c r="L16" i="4"/>
  <c r="M16" i="4"/>
  <c r="F17" i="4"/>
  <c r="G205" i="3"/>
  <c r="G17" i="4"/>
  <c r="K17" i="4"/>
  <c r="L17" i="4"/>
  <c r="M17" i="4"/>
  <c r="F18" i="4"/>
  <c r="G221" i="3"/>
  <c r="G18" i="4"/>
  <c r="K18" i="4"/>
  <c r="L18" i="4"/>
  <c r="M18" i="4"/>
  <c r="F19" i="4"/>
  <c r="G237" i="3"/>
  <c r="G19" i="4"/>
  <c r="K19" i="4"/>
  <c r="L19" i="4"/>
  <c r="M19" i="4"/>
  <c r="F20" i="4"/>
  <c r="G253" i="3"/>
  <c r="G20" i="4"/>
  <c r="K20" i="4"/>
  <c r="L20" i="4"/>
  <c r="M20" i="4"/>
  <c r="F21" i="4"/>
  <c r="G269" i="3"/>
  <c r="G21" i="4"/>
  <c r="K21" i="4"/>
  <c r="L21" i="4"/>
  <c r="M21" i="4"/>
  <c r="F22" i="4"/>
  <c r="G285" i="3"/>
  <c r="G22" i="4"/>
  <c r="K22" i="4"/>
  <c r="L22" i="4"/>
  <c r="M22" i="4"/>
  <c r="F23" i="4"/>
  <c r="G301" i="3"/>
  <c r="G23" i="4"/>
  <c r="K23" i="4"/>
  <c r="L23" i="4"/>
  <c r="M23" i="4"/>
  <c r="F24" i="4"/>
  <c r="G317" i="3"/>
  <c r="G24" i="4"/>
  <c r="K24" i="4"/>
  <c r="L24" i="4"/>
  <c r="M24" i="4"/>
  <c r="F25" i="4"/>
  <c r="G333" i="3"/>
  <c r="G25" i="4"/>
  <c r="K25" i="4"/>
  <c r="L25" i="4"/>
  <c r="M25" i="4"/>
  <c r="F26" i="4"/>
  <c r="G349" i="3"/>
  <c r="G26" i="4"/>
  <c r="K26" i="4"/>
  <c r="L26" i="4"/>
  <c r="M26" i="4"/>
  <c r="F27" i="4"/>
  <c r="G27" i="4"/>
  <c r="K27" i="4"/>
  <c r="L27" i="4"/>
  <c r="M27" i="4"/>
  <c r="F28" i="4"/>
  <c r="G28" i="4"/>
  <c r="K28" i="4"/>
  <c r="L28" i="4"/>
  <c r="M28" i="4"/>
  <c r="F29" i="4"/>
  <c r="G29" i="4"/>
  <c r="K29" i="4"/>
  <c r="L29" i="4"/>
  <c r="M29" i="4"/>
  <c r="F30" i="4"/>
  <c r="G30" i="4"/>
  <c r="K30" i="4"/>
  <c r="L30" i="4"/>
  <c r="M30" i="4"/>
  <c r="F31" i="4"/>
  <c r="G31" i="4"/>
  <c r="K31" i="4"/>
  <c r="L31" i="4"/>
  <c r="M31" i="4"/>
  <c r="F32" i="4"/>
  <c r="G32" i="4"/>
  <c r="K32" i="4"/>
  <c r="L32" i="4"/>
  <c r="M32" i="4"/>
  <c r="F33" i="4"/>
  <c r="G33" i="4"/>
  <c r="K33" i="4"/>
  <c r="L33" i="4"/>
  <c r="M33" i="4"/>
  <c r="F34" i="4"/>
  <c r="G34" i="4"/>
  <c r="K34" i="4"/>
  <c r="L34" i="4"/>
  <c r="M34" i="4"/>
  <c r="D5" i="6"/>
  <c r="P5" i="6"/>
  <c r="I13" i="3"/>
  <c r="E5" i="6"/>
  <c r="G5" i="6"/>
  <c r="D6" i="6"/>
  <c r="I29" i="3"/>
  <c r="E6" i="6"/>
  <c r="P6" i="6"/>
  <c r="G6" i="6"/>
  <c r="I7" i="6"/>
  <c r="D7" i="6"/>
  <c r="P7" i="6"/>
  <c r="I45" i="3"/>
  <c r="E7" i="6"/>
  <c r="G7" i="6"/>
  <c r="I8" i="6"/>
  <c r="D8" i="6"/>
  <c r="P8" i="6"/>
  <c r="I61" i="3"/>
  <c r="E8" i="6"/>
  <c r="G8" i="6"/>
  <c r="I9" i="6"/>
  <c r="D9" i="6"/>
  <c r="I77" i="3"/>
  <c r="E9" i="6"/>
  <c r="P9" i="6"/>
  <c r="G9" i="6"/>
  <c r="I10" i="6"/>
  <c r="D10" i="6"/>
  <c r="I93" i="3"/>
  <c r="E10" i="6"/>
  <c r="P10" i="6"/>
  <c r="G10" i="6"/>
  <c r="I11" i="6"/>
  <c r="D11" i="6"/>
  <c r="I109" i="3"/>
  <c r="E11" i="6"/>
  <c r="P11" i="6"/>
  <c r="G11" i="6"/>
  <c r="I12" i="6"/>
  <c r="D12" i="6"/>
  <c r="I125" i="3"/>
  <c r="E12" i="6"/>
  <c r="P12" i="6"/>
  <c r="G12" i="6"/>
  <c r="I13" i="6"/>
  <c r="D13" i="6"/>
  <c r="P13" i="6"/>
  <c r="I141" i="3"/>
  <c r="E13" i="6"/>
  <c r="G13" i="6"/>
  <c r="I14" i="6"/>
  <c r="D14" i="6"/>
  <c r="P14" i="6"/>
  <c r="I157" i="3"/>
  <c r="E14" i="6"/>
  <c r="G14" i="6"/>
  <c r="I15" i="6"/>
  <c r="D15" i="6"/>
  <c r="P15" i="6"/>
  <c r="I173" i="3"/>
  <c r="E15" i="6"/>
  <c r="G15" i="6"/>
  <c r="I16" i="6"/>
  <c r="D16" i="6"/>
  <c r="P16" i="6"/>
  <c r="I189" i="3"/>
  <c r="E16" i="6"/>
  <c r="G16" i="6"/>
  <c r="I17" i="6"/>
  <c r="D17" i="6"/>
  <c r="P17" i="6"/>
  <c r="I205" i="3"/>
  <c r="E17" i="6"/>
  <c r="G17" i="6"/>
  <c r="I18" i="6"/>
  <c r="D18" i="6"/>
  <c r="P18" i="6"/>
  <c r="I221" i="3"/>
  <c r="E18" i="6"/>
  <c r="G18" i="6"/>
  <c r="I19" i="6"/>
  <c r="D19" i="6"/>
  <c r="P19" i="6"/>
  <c r="I237" i="3"/>
  <c r="E19" i="6"/>
  <c r="G19" i="6"/>
  <c r="I20" i="6"/>
  <c r="D20" i="6"/>
  <c r="P20" i="6"/>
  <c r="I253" i="3"/>
  <c r="E20" i="6"/>
  <c r="G20" i="6"/>
  <c r="I21" i="6"/>
  <c r="D21" i="6"/>
  <c r="P21" i="6"/>
  <c r="I269" i="3"/>
  <c r="E21" i="6"/>
  <c r="G21" i="6"/>
  <c r="I22" i="6"/>
  <c r="D22" i="6"/>
  <c r="P22" i="6"/>
  <c r="I285" i="3"/>
  <c r="E22" i="6"/>
  <c r="G22" i="6"/>
  <c r="I23" i="6"/>
  <c r="D23" i="6"/>
  <c r="P23" i="6"/>
  <c r="I301" i="3"/>
  <c r="E23" i="6"/>
  <c r="G23" i="6"/>
  <c r="I24" i="6"/>
  <c r="D24" i="6"/>
  <c r="P24" i="6"/>
  <c r="I317" i="3"/>
  <c r="E24" i="6"/>
  <c r="G24" i="6"/>
  <c r="I25" i="6"/>
  <c r="D25" i="6"/>
  <c r="P25" i="6"/>
  <c r="I333" i="3"/>
  <c r="E25" i="6"/>
  <c r="G25" i="6"/>
  <c r="I26" i="6"/>
  <c r="D26" i="6"/>
  <c r="P26" i="6"/>
  <c r="I349" i="3"/>
  <c r="E26" i="6"/>
  <c r="G26" i="6"/>
  <c r="I27" i="6"/>
  <c r="G365" i="3"/>
  <c r="D27" i="6"/>
  <c r="P27" i="6"/>
  <c r="I365" i="3"/>
  <c r="E27" i="6"/>
  <c r="G27" i="6"/>
  <c r="I28" i="6"/>
  <c r="G381" i="3"/>
  <c r="D28" i="6"/>
  <c r="P28" i="6"/>
  <c r="I381" i="3"/>
  <c r="E28" i="6"/>
  <c r="G28" i="6"/>
  <c r="I29" i="6"/>
  <c r="G397" i="3"/>
  <c r="D29" i="6"/>
  <c r="P29" i="6"/>
  <c r="I397" i="3"/>
  <c r="E29" i="6"/>
  <c r="G29" i="6"/>
  <c r="I30" i="6"/>
  <c r="G413" i="3"/>
  <c r="D30" i="6"/>
  <c r="P30" i="6"/>
  <c r="I413" i="3"/>
  <c r="E30" i="6"/>
  <c r="G30" i="6"/>
  <c r="I31" i="6"/>
  <c r="G429" i="3"/>
  <c r="D31" i="6"/>
  <c r="P31" i="6"/>
  <c r="I429" i="3"/>
  <c r="E31" i="6"/>
  <c r="G31" i="6"/>
  <c r="I32" i="6"/>
  <c r="G445" i="3"/>
  <c r="D32" i="6"/>
  <c r="P32" i="6"/>
  <c r="I445" i="3"/>
  <c r="E32" i="6"/>
  <c r="G32" i="6"/>
  <c r="I33" i="6"/>
  <c r="G461" i="3"/>
  <c r="D33" i="6"/>
  <c r="P33" i="6"/>
  <c r="I461" i="3"/>
  <c r="E33" i="6"/>
  <c r="G33" i="6"/>
  <c r="I34" i="6"/>
  <c r="G477" i="3"/>
  <c r="D34" i="6"/>
  <c r="P34" i="6"/>
  <c r="I477" i="3"/>
  <c r="E34" i="6"/>
  <c r="G34" i="6"/>
  <c r="F3" i="4"/>
  <c r="B4" i="8"/>
  <c r="K13" i="3"/>
  <c r="K29" i="3"/>
  <c r="K45" i="3"/>
  <c r="K61" i="3"/>
  <c r="K77" i="3"/>
  <c r="K93" i="3"/>
  <c r="K109" i="3"/>
  <c r="K125" i="3"/>
  <c r="K141" i="3"/>
  <c r="K157" i="3"/>
  <c r="K173" i="3"/>
  <c r="K189" i="3"/>
  <c r="K205" i="3"/>
  <c r="K221" i="3"/>
  <c r="K237" i="3"/>
  <c r="K253" i="3"/>
  <c r="K269" i="3"/>
  <c r="K285" i="3"/>
  <c r="K301" i="3"/>
  <c r="K317" i="3"/>
  <c r="K333" i="3"/>
  <c r="K349" i="3"/>
  <c r="K365" i="3"/>
  <c r="K381" i="3"/>
  <c r="K397" i="3"/>
  <c r="K413" i="3"/>
  <c r="K429" i="3"/>
  <c r="K445" i="3"/>
  <c r="K461" i="3"/>
  <c r="K477" i="3"/>
  <c r="F4" i="5"/>
  <c r="G4" i="8"/>
  <c r="D2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6" i="6"/>
  <c r="H5" i="6"/>
  <c r="E7" i="4"/>
  <c r="C7" i="6"/>
  <c r="E8" i="4"/>
  <c r="C8" i="6"/>
  <c r="E9" i="4"/>
  <c r="C9" i="6"/>
  <c r="E10" i="4"/>
  <c r="C10" i="6"/>
  <c r="E11" i="4"/>
  <c r="C11" i="6"/>
  <c r="E12" i="4"/>
  <c r="C12" i="6"/>
  <c r="E13" i="4"/>
  <c r="C13" i="6"/>
  <c r="E14" i="4"/>
  <c r="C14" i="6"/>
  <c r="E15" i="4"/>
  <c r="C15" i="6"/>
  <c r="E16" i="4"/>
  <c r="C16" i="6"/>
  <c r="E17" i="4"/>
  <c r="C17" i="6"/>
  <c r="E18" i="4"/>
  <c r="C18" i="6"/>
  <c r="E19" i="4"/>
  <c r="C19" i="6"/>
  <c r="E20" i="4"/>
  <c r="C20" i="6"/>
  <c r="E21" i="4"/>
  <c r="C21" i="6"/>
  <c r="E22" i="4"/>
  <c r="C22" i="6"/>
  <c r="E23" i="4"/>
  <c r="C23" i="6"/>
  <c r="E24" i="4"/>
  <c r="C24" i="6"/>
  <c r="E25" i="4"/>
  <c r="C25" i="6"/>
  <c r="E26" i="4"/>
  <c r="C26" i="6"/>
  <c r="E27" i="4"/>
  <c r="C27" i="6"/>
  <c r="E28" i="4"/>
  <c r="C28" i="6"/>
  <c r="E29" i="4"/>
  <c r="C29" i="6"/>
  <c r="E30" i="4"/>
  <c r="C30" i="6"/>
  <c r="E31" i="4"/>
  <c r="C31" i="6"/>
  <c r="E32" i="4"/>
  <c r="C32" i="6"/>
  <c r="E33" i="4"/>
  <c r="C33" i="6"/>
  <c r="E34" i="4"/>
  <c r="C34" i="6"/>
  <c r="E6" i="4"/>
  <c r="C6" i="6"/>
  <c r="E5" i="4"/>
  <c r="C5" i="6"/>
  <c r="B4" i="5"/>
  <c r="H1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9" i="4"/>
  <c r="B58" i="3"/>
  <c r="B106" i="3"/>
  <c r="B154" i="3"/>
  <c r="B202" i="3"/>
  <c r="B250" i="3"/>
  <c r="B298" i="3"/>
  <c r="H8" i="4"/>
  <c r="H7" i="4"/>
  <c r="B26" i="3"/>
  <c r="B74" i="3"/>
  <c r="B122" i="3"/>
  <c r="H6" i="4"/>
  <c r="H5" i="4"/>
  <c r="B42" i="3"/>
  <c r="B170" i="3"/>
  <c r="B138" i="3"/>
  <c r="B90" i="3"/>
  <c r="B218" i="3"/>
  <c r="B186" i="3"/>
  <c r="B266" i="3"/>
  <c r="B234" i="3"/>
  <c r="B314" i="3"/>
  <c r="B362" i="3"/>
  <c r="B410" i="3"/>
  <c r="B458" i="3"/>
  <c r="B282" i="3"/>
  <c r="B330" i="3"/>
  <c r="B378" i="3"/>
  <c r="B346" i="3"/>
  <c r="B426" i="3"/>
  <c r="B394" i="3"/>
  <c r="B442" i="3"/>
  <c r="B474" i="3"/>
  <c r="F5" i="4"/>
  <c r="M5" i="4"/>
  <c r="I5" i="6"/>
  <c r="F6" i="4"/>
  <c r="M6" i="4"/>
  <c r="F2" i="4"/>
  <c r="I5" i="4"/>
  <c r="J5" i="4"/>
  <c r="I6" i="4"/>
  <c r="J6" i="4"/>
  <c r="Q6" i="4"/>
  <c r="R6" i="4"/>
  <c r="I7" i="4"/>
  <c r="J7" i="4"/>
  <c r="Q7" i="4"/>
  <c r="R7" i="4"/>
  <c r="I8" i="4"/>
  <c r="J8" i="4"/>
  <c r="Q8" i="4"/>
  <c r="R8" i="4"/>
  <c r="I9" i="4"/>
  <c r="J9" i="4"/>
  <c r="Q9" i="4"/>
  <c r="R9" i="4"/>
  <c r="I10" i="4"/>
  <c r="J10" i="4"/>
  <c r="Q10" i="4"/>
  <c r="R10" i="4"/>
  <c r="I11" i="4"/>
  <c r="J11" i="4"/>
  <c r="Q11" i="4"/>
  <c r="R11" i="4"/>
  <c r="I12" i="4"/>
  <c r="J12" i="4"/>
  <c r="Q12" i="4"/>
  <c r="R12" i="4"/>
  <c r="I13" i="4"/>
  <c r="J13" i="4"/>
  <c r="Q13" i="4"/>
  <c r="R13" i="4"/>
  <c r="I14" i="4"/>
  <c r="J14" i="4"/>
  <c r="Q14" i="4"/>
  <c r="R14" i="4"/>
  <c r="I15" i="4"/>
  <c r="J15" i="4"/>
  <c r="Q15" i="4"/>
  <c r="R15" i="4"/>
  <c r="I16" i="4"/>
  <c r="J16" i="4"/>
  <c r="Q16" i="4"/>
  <c r="R16" i="4"/>
  <c r="I17" i="4"/>
  <c r="J17" i="4"/>
  <c r="Q17" i="4"/>
  <c r="R17" i="4"/>
  <c r="I18" i="4"/>
  <c r="J18" i="4"/>
  <c r="Q18" i="4"/>
  <c r="R18" i="4"/>
  <c r="I19" i="4"/>
  <c r="J19" i="4"/>
  <c r="Q19" i="4"/>
  <c r="R19" i="4"/>
  <c r="I20" i="4"/>
  <c r="J20" i="4"/>
  <c r="Q20" i="4"/>
  <c r="R20" i="4"/>
  <c r="I21" i="4"/>
  <c r="J21" i="4"/>
  <c r="Q21" i="4"/>
  <c r="R21" i="4"/>
  <c r="I22" i="4"/>
  <c r="J22" i="4"/>
  <c r="Q22" i="4"/>
  <c r="R22" i="4"/>
  <c r="I23" i="4"/>
  <c r="J23" i="4"/>
  <c r="Q23" i="4"/>
  <c r="R23" i="4"/>
  <c r="I24" i="4"/>
  <c r="J24" i="4"/>
  <c r="Q24" i="4"/>
  <c r="R24" i="4"/>
  <c r="I25" i="4"/>
  <c r="J25" i="4"/>
  <c r="Q25" i="4"/>
  <c r="R25" i="4"/>
  <c r="I26" i="4"/>
  <c r="J26" i="4"/>
  <c r="Q26" i="4"/>
  <c r="R26" i="4"/>
  <c r="I27" i="4"/>
  <c r="J27" i="4"/>
  <c r="Q27" i="4"/>
  <c r="R27" i="4"/>
  <c r="I28" i="4"/>
  <c r="J28" i="4"/>
  <c r="Q28" i="4"/>
  <c r="R28" i="4"/>
  <c r="I29" i="4"/>
  <c r="J29" i="4"/>
  <c r="Q29" i="4"/>
  <c r="R29" i="4"/>
  <c r="I30" i="4"/>
  <c r="J30" i="4"/>
  <c r="Q30" i="4"/>
  <c r="R30" i="4"/>
  <c r="I31" i="4"/>
  <c r="J31" i="4"/>
  <c r="Q31" i="4"/>
  <c r="R31" i="4"/>
  <c r="I32" i="4"/>
  <c r="J32" i="4"/>
  <c r="Q32" i="4"/>
  <c r="R32" i="4"/>
  <c r="I33" i="4"/>
  <c r="J33" i="4"/>
  <c r="Q33" i="4"/>
  <c r="R33" i="4"/>
  <c r="I34" i="4"/>
  <c r="J34" i="4"/>
  <c r="Q34" i="4"/>
  <c r="R34" i="4"/>
  <c r="I6" i="6"/>
  <c r="J5" i="6"/>
  <c r="Q5" i="4"/>
  <c r="R5" i="4"/>
  <c r="R36" i="4"/>
  <c r="R39" i="4"/>
  <c r="R42" i="4"/>
  <c r="D4" i="5"/>
  <c r="K5" i="6"/>
  <c r="L5" i="6"/>
  <c r="F4" i="8"/>
  <c r="E4" i="8"/>
  <c r="D4" i="8"/>
  <c r="C4" i="8"/>
  <c r="C4" i="5"/>
  <c r="E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 name placeholder</author>
  </authors>
  <commentList>
    <comment ref="C3" authorId="0" shapeId="0" xr:uid="{33532585-2126-C343-B3F7-EFD0B37E21CC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" authorId="0" shapeId="0" xr:uid="{64C42848-E892-5744-954C-7503081E058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5" authorId="0" shapeId="0" xr:uid="{AED5B925-44EC-F441-AB52-AA7C4EDAA01D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6" authorId="0" shapeId="0" xr:uid="{C4C417AE-A9ED-BC4C-A1E2-43F142CEABF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9" authorId="0" shapeId="0" xr:uid="{4319FEF3-5374-A04B-876F-E2FF858939D6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9" authorId="0" shapeId="0" xr:uid="{5C97D642-20CF-0A43-9119-2993354408F1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3" authorId="0" shapeId="0" xr:uid="{7F463A1D-4B85-4242-A9EA-E396411C88EC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3" authorId="0" shapeId="0" xr:uid="{DF588133-D17B-4C7D-9D05-0231F4D40CF0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9" authorId="0" shapeId="0" xr:uid="{DF855619-8E0F-544B-A6F1-4C72941EA815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0" authorId="0" shapeId="0" xr:uid="{605AFC08-1DE1-4740-90F7-70A62A0FB1E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1" authorId="0" shapeId="0" xr:uid="{4CC6DC78-B4E4-5448-A196-BDAE7999659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2" authorId="0" shapeId="0" xr:uid="{16E82162-9787-334D-9FBF-D5207070D59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5" authorId="0" shapeId="0" xr:uid="{D8064AD9-81C1-D240-8027-D280B1B5DCA4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5" authorId="0" shapeId="0" xr:uid="{891006C0-2EC7-A343-9C8C-BC09FCF088E9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9" authorId="0" shapeId="0" xr:uid="{8B1D58FC-DA0A-B849-BAD5-20BC1B8BC7CE}">
      <text>
        <r>
          <rPr>
            <sz val="8"/>
            <color rgb="FF000000"/>
            <rFont val="Tahoma"/>
            <family val="2"/>
          </rPr>
          <t xml:space="preserve">Livello medio aritmetico
</t>
        </r>
      </text>
    </comment>
    <comment ref="H29" authorId="0" shapeId="0" xr:uid="{59686CAE-43B7-443F-8B5E-06BF2A7E8374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5" authorId="0" shapeId="0" xr:uid="{625B5648-48E8-2241-A909-8D5DFD6A31E3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6" authorId="0" shapeId="0" xr:uid="{DC733AFC-5C9E-F24E-951C-BD6F87D82D17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7" authorId="0" shapeId="0" xr:uid="{6334B12E-AF63-8843-A95F-11FA661CFB3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8" authorId="0" shapeId="0" xr:uid="{2268AF9E-75C9-B242-84D3-8781270A5B43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1" authorId="0" shapeId="0" xr:uid="{CA19C88A-8BB7-0640-A8B8-A85349DE7B96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1" authorId="0" shapeId="0" xr:uid="{38B7DA76-A8D3-B049-8F1B-8C9D36D66F78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5" authorId="0" shapeId="0" xr:uid="{A25FAF24-1E9F-1B40-9CD5-C67CAF3960F9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5" authorId="0" shapeId="0" xr:uid="{2926C920-EC93-4590-B3D0-5D505CFC4205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51" authorId="0" shapeId="0" xr:uid="{EDF8A943-313D-DB4F-A190-9A37623DD7F4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52" authorId="0" shapeId="0" xr:uid="{6018401E-6992-3C43-9782-B168F36D411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53" authorId="0" shapeId="0" xr:uid="{7DBE8327-15B5-7448-9DF5-3F30E14F7B9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54" authorId="0" shapeId="0" xr:uid="{193A90BB-1D14-F84F-870B-6C619C75E98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57" authorId="0" shapeId="0" xr:uid="{28D018C6-3154-3247-8D74-15ED62F8AAFD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57" authorId="0" shapeId="0" xr:uid="{5AF4D5D0-0D7A-1B4B-9B8D-17284EC8E078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61" authorId="0" shapeId="0" xr:uid="{09B1B97B-A0F8-8640-80D8-AF61A98E6AE2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61" authorId="0" shapeId="0" xr:uid="{3763A5D5-35B2-4A6E-A92A-A3DA5BD9D756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67" authorId="0" shapeId="0" xr:uid="{B01D1A76-8D36-DA40-AA69-5EC9EA9211E7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68" authorId="0" shapeId="0" xr:uid="{C48915CF-0338-574A-9245-CE8707D9ABA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69" authorId="0" shapeId="0" xr:uid="{90997272-FA37-4241-8371-FAA483C984C7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70" authorId="0" shapeId="0" xr:uid="{33F46EB0-28AF-F94B-BFB9-504B9DE319F1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73" authorId="0" shapeId="0" xr:uid="{285E03F8-A857-414D-A745-023CF0ECDBAE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73" authorId="0" shapeId="0" xr:uid="{93B6B35B-1A5B-4242-960A-1EEEF58C7AA2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77" authorId="0" shapeId="0" xr:uid="{AF3E5CF6-2BE9-4A4D-AD55-6B2E15AFBF4F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77" authorId="0" shapeId="0" xr:uid="{7656A3EF-7AD2-4886-ACEA-A8432D43A74A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83" authorId="0" shapeId="0" xr:uid="{7CE76533-51FC-AE4D-B3EF-67051A8AE76E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84" authorId="0" shapeId="0" xr:uid="{910D4517-8F20-D24D-BA66-1F8BF6F2FF6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85" authorId="0" shapeId="0" xr:uid="{FE7D3EA5-768D-EE44-A37B-1B27DC687AC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86" authorId="0" shapeId="0" xr:uid="{3C8BAD11-EA8B-AF4F-A3CD-CE3DE148501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89" authorId="0" shapeId="0" xr:uid="{D4A22A8E-A8E8-3944-8BD0-5C3D8B15657A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89" authorId="0" shapeId="0" xr:uid="{4FABD1E8-7999-D845-912A-1BFBDC5F5570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93" authorId="0" shapeId="0" xr:uid="{CEBA2D54-A13D-DE4C-8D34-AB71ACD62D8B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93" authorId="0" shapeId="0" xr:uid="{AC6062D4-D781-4B18-BFC3-472FAE8F37C6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99" authorId="0" shapeId="0" xr:uid="{897847E0-CD43-AA44-929B-396BB56E8B4E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00" authorId="0" shapeId="0" xr:uid="{576591EC-DD5F-1249-9026-662928B0693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01" authorId="0" shapeId="0" xr:uid="{BF65B5B0-D0D2-EB48-9569-132509EC791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02" authorId="0" shapeId="0" xr:uid="{E3B118A2-58E0-F94C-B869-D3BDC4E0302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05" authorId="0" shapeId="0" xr:uid="{8B1F9248-86D4-714A-A67B-87E23B4EF8E0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05" authorId="0" shapeId="0" xr:uid="{125FDD14-6ACC-934B-B52E-3D767904F13C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09" authorId="0" shapeId="0" xr:uid="{A4C29C7A-B531-5740-9476-2B1A5C3410CB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09" authorId="0" shapeId="0" xr:uid="{491E86D7-7B56-4FED-A849-83573A599A4A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15" authorId="0" shapeId="0" xr:uid="{A6C414F5-7917-464C-B563-7FBD1148D508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16" authorId="0" shapeId="0" xr:uid="{8B43FD93-422B-914C-94CA-854BFC22851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17" authorId="0" shapeId="0" xr:uid="{1BDE62AC-9724-2446-B14B-604DD5DDE46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18" authorId="0" shapeId="0" xr:uid="{DBCD2773-52A6-9943-AE4C-16AE58E5BE9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21" authorId="0" shapeId="0" xr:uid="{0C4CFF5E-C2E8-314A-B1F5-4B96AF808C2D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21" authorId="0" shapeId="0" xr:uid="{B29AF819-D5C2-8A4E-87FE-2312D09F56CE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25" authorId="0" shapeId="0" xr:uid="{E079D518-4609-634D-8FD9-828BEF87CC72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25" authorId="0" shapeId="0" xr:uid="{0411E91A-29D9-4FCB-ABF9-2CD425CB38A3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31" authorId="0" shapeId="0" xr:uid="{C8C741C2-8EC8-0740-A262-218E11EF0F75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32" authorId="0" shapeId="0" xr:uid="{283A9798-943B-0048-B3F9-25D718FE458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33" authorId="0" shapeId="0" xr:uid="{E4FFC69A-2E60-734E-A432-383EAD42A0C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34" authorId="0" shapeId="0" xr:uid="{CE1625F9-FF87-1147-B0BE-629B63D42D3F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37" authorId="0" shapeId="0" xr:uid="{C68BC0FE-824D-8C44-BAFB-8E65AA092E24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37" authorId="0" shapeId="0" xr:uid="{D6C5F165-319A-994C-853C-18F0219B0199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41" authorId="0" shapeId="0" xr:uid="{10678DEE-9BB8-D44D-97A7-3269B19D065C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41" authorId="0" shapeId="0" xr:uid="{1217C11E-F6C3-4CFC-A5D6-5F4FCC6983F8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47" authorId="0" shapeId="0" xr:uid="{5FD55A3B-02C7-6240-939E-6B77ECFE5D9F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48" authorId="0" shapeId="0" xr:uid="{B8FF5715-4435-3649-9366-DC1D2CE5E1D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49" authorId="0" shapeId="0" xr:uid="{E6190DF1-F5E4-BE4C-881E-8E0C2461786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50" authorId="0" shapeId="0" xr:uid="{B53688E6-9692-494D-B78F-A6D290BE33F7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53" authorId="0" shapeId="0" xr:uid="{EDFB5833-38BF-764C-94C7-82F0821EC17B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53" authorId="0" shapeId="0" xr:uid="{121292FF-A86A-E24D-88B0-2DA449D3521E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57" authorId="0" shapeId="0" xr:uid="{99F7D284-C135-AC44-AF94-E61EC884A4D1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57" authorId="0" shapeId="0" xr:uid="{DA0E699A-BDF3-4440-9820-5914E097D4D2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63" authorId="0" shapeId="0" xr:uid="{5AE4BE47-0E0E-B348-8C5C-FDE3A0236A21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64" authorId="0" shapeId="0" xr:uid="{34009274-4432-134D-9926-CCEC86ABA61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65" authorId="0" shapeId="0" xr:uid="{501EB8A3-7B25-0345-9588-913BFB9438C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66" authorId="0" shapeId="0" xr:uid="{790AE2D2-C5D4-0F48-B100-41447251F9D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69" authorId="0" shapeId="0" xr:uid="{CB07BCDB-DA8B-E843-9852-A2900EC7B0D9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69" authorId="0" shapeId="0" xr:uid="{1F9C5FC2-8F4C-D346-91AA-4E45F5DA1B45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73" authorId="0" shapeId="0" xr:uid="{DCED3AB6-B8C7-A645-B3C9-C3C6809A3F7B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73" authorId="0" shapeId="0" xr:uid="{A33878ED-1535-478B-85A9-F3B1E0CBC0EE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79" authorId="0" shapeId="0" xr:uid="{38F8E1B8-3B0F-0E4C-8DFA-D18D98ED0BE7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80" authorId="0" shapeId="0" xr:uid="{ABC69222-D8A9-3B48-8B6A-9798C459A29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81" authorId="0" shapeId="0" xr:uid="{03338C21-49F1-FA44-8C67-90664443ACB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82" authorId="0" shapeId="0" xr:uid="{9AE6EBE5-32FF-9F4B-B8B0-CD9E923170BD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185" authorId="0" shapeId="0" xr:uid="{DA2341D2-7DE1-1C42-91B0-EBE1D0C7372B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185" authorId="0" shapeId="0" xr:uid="{B35E34BE-9B04-2241-A399-F553C38D9C50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189" authorId="0" shapeId="0" xr:uid="{8821C92E-94C9-4744-B451-B4FCFEE98EB5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89" authorId="0" shapeId="0" xr:uid="{52157A58-DD90-4A73-8533-A1119D94967C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195" authorId="0" shapeId="0" xr:uid="{1294F8D7-5202-FB42-97FE-A33850A6224E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196" authorId="0" shapeId="0" xr:uid="{4B47CB7C-6476-8147-843F-D5FB42734F8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97" authorId="0" shapeId="0" xr:uid="{C2CD1ABB-148F-7E4C-9127-683DD8E7391D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198" authorId="0" shapeId="0" xr:uid="{D56BC2BA-E299-7A40-8C6C-45BA9D9C113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01" authorId="0" shapeId="0" xr:uid="{ED5A38F3-293D-F643-B32C-B16B3A3BBB9C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01" authorId="0" shapeId="0" xr:uid="{9EC3672A-41C5-694C-94B6-3B533993BEC4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05" authorId="0" shapeId="0" xr:uid="{8C7EE7E3-4B45-4243-BF76-17056AC6400A}">
      <text>
        <r>
          <rPr>
            <sz val="8"/>
            <color rgb="FF000000"/>
            <rFont val="Tahoma"/>
            <family val="2"/>
          </rPr>
          <t xml:space="preserve">Livello medio aritmetico
</t>
        </r>
      </text>
    </comment>
    <comment ref="H205" authorId="0" shapeId="0" xr:uid="{70ABEF6E-1D1A-4C96-A0B8-2FBD0182F46A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11" authorId="0" shapeId="0" xr:uid="{88B136A1-06AD-DD43-9B5E-AB5FD07447CF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12" authorId="0" shapeId="0" xr:uid="{7347C5C1-966D-6147-A1A0-E8392E61F7D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13" authorId="0" shapeId="0" xr:uid="{EF380343-BA22-4A41-867E-8E962CEF499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14" authorId="0" shapeId="0" xr:uid="{5A3AE861-AA21-DE42-A6A8-25687D9A4A4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17" authorId="0" shapeId="0" xr:uid="{ECDD5168-09B8-0C48-93EC-29C9767E67A9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17" authorId="0" shapeId="0" xr:uid="{658FFA85-0C24-9B44-8D0A-0EBF40E84303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21" authorId="0" shapeId="0" xr:uid="{8380CBEA-64D0-3448-82BB-A4140A3D5EB3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221" authorId="0" shapeId="0" xr:uid="{3AB57E0D-AC7C-4944-BED7-AD47B6BCA1FF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27" authorId="0" shapeId="0" xr:uid="{DFCE8864-F990-B840-9CE4-7C53D08BDFD9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28" authorId="0" shapeId="0" xr:uid="{D0EB18B4-F0D0-3D45-9B55-082185C43E3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29" authorId="0" shapeId="0" xr:uid="{4140168C-4B68-264B-99AB-D3F7A4345CB1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30" authorId="0" shapeId="0" xr:uid="{F5B8FDFD-1590-1542-BD28-8B2CA421084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33" authorId="0" shapeId="0" xr:uid="{41310836-F81E-5749-B9A0-6697256B9666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33" authorId="0" shapeId="0" xr:uid="{8B181109-2DA2-AC4C-A88E-82758B550D02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37" authorId="0" shapeId="0" xr:uid="{564571E2-633D-294E-AE46-BEDA5CD6A459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237" authorId="0" shapeId="0" xr:uid="{7C2A1122-3D56-4528-BB0A-9D0745DDAC2F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43" authorId="0" shapeId="0" xr:uid="{BC024D23-43AD-2446-BA95-0327840E7DF6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44" authorId="0" shapeId="0" xr:uid="{6F98025F-5CCC-5849-934C-7E44FD396DD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45" authorId="0" shapeId="0" xr:uid="{1C9B8E80-2F2F-A448-9E37-79AAA70D8EB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46" authorId="0" shapeId="0" xr:uid="{832F1961-1EBB-564F-99AD-497E551F745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49" authorId="0" shapeId="0" xr:uid="{8041EF57-B9FA-C747-AB1A-CBAC08030343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49" authorId="0" shapeId="0" xr:uid="{5EA60D45-7A32-BA49-B5C9-158363235F06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53" authorId="0" shapeId="0" xr:uid="{AC53B8D4-F54D-A14C-9D38-BAD12F1C7F55}">
      <text>
        <r>
          <rPr>
            <sz val="8"/>
            <color rgb="FF000000"/>
            <rFont val="Tahoma"/>
            <family val="2"/>
          </rPr>
          <t xml:space="preserve">Livello medio aritmetico
</t>
        </r>
      </text>
    </comment>
    <comment ref="H253" authorId="0" shapeId="0" xr:uid="{558D8C14-E218-4404-90C7-11A35C4C5465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59" authorId="0" shapeId="0" xr:uid="{B03B2443-A322-4047-90A1-A9F41602D420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60" authorId="0" shapeId="0" xr:uid="{079FE7F1-FDFB-004F-87FA-FFCD16370903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61" authorId="0" shapeId="0" xr:uid="{3B28C4FB-D7CA-7745-A2D5-B9C54CE4E20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62" authorId="0" shapeId="0" xr:uid="{A4E09D87-0797-3C44-9746-76A5FD17B6D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65" authorId="0" shapeId="0" xr:uid="{ECE26354-FD35-884A-AEE0-814164806A2F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65" authorId="0" shapeId="0" xr:uid="{41CD8381-568D-CB45-89A6-69D53878D1EA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69" authorId="0" shapeId="0" xr:uid="{95254F92-27BE-8540-BEC2-0887046216F1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269" authorId="0" shapeId="0" xr:uid="{94FFF108-FA3F-4D0E-8458-3E7972F9D253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75" authorId="0" shapeId="0" xr:uid="{5046AB30-CBCD-CF49-B33F-CD3AC923D99B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76" authorId="0" shapeId="0" xr:uid="{D83DAE04-CDB6-0A4D-A2C7-C06A8E9A197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77" authorId="0" shapeId="0" xr:uid="{1469C8D4-3619-264C-988D-57964297ABE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78" authorId="0" shapeId="0" xr:uid="{A619FF69-DC18-3443-904C-C51172A60BFF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81" authorId="0" shapeId="0" xr:uid="{8AA08695-4D89-A947-BDA0-7F689FDA5135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81" authorId="0" shapeId="0" xr:uid="{46E4BB18-0993-FE4E-AEA3-68F07A7DF3CF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285" authorId="0" shapeId="0" xr:uid="{48C88ACD-8262-5349-93FA-B46A695B7F89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285" authorId="0" shapeId="0" xr:uid="{F91EA718-7395-49E4-B362-EA25160783A1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291" authorId="0" shapeId="0" xr:uid="{85753A74-3403-8341-A597-B3D372B77D8F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292" authorId="0" shapeId="0" xr:uid="{16EE75FA-CEB9-E145-9ED3-7CADC24B779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93" authorId="0" shapeId="0" xr:uid="{943ACFD0-C461-7F42-B649-36AF675033B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294" authorId="0" shapeId="0" xr:uid="{973772FD-BCBB-1446-8389-AD49EA3E190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297" authorId="0" shapeId="0" xr:uid="{9B371F9B-5DEA-9949-98E3-801779620AA9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297" authorId="0" shapeId="0" xr:uid="{5071081D-FF08-0D45-9F28-5AD4A66B1B96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01" authorId="0" shapeId="0" xr:uid="{31553A06-47F3-9A4C-89C0-1CCF4DF5F5BD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01" authorId="0" shapeId="0" xr:uid="{F108E313-BC05-4656-A1BF-9CCE964E894F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07" authorId="0" shapeId="0" xr:uid="{6E50781D-2CAE-B549-8A95-95C210F054A5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08" authorId="0" shapeId="0" xr:uid="{D1D40812-C057-FC44-A08A-3D1BC7DFC28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09" authorId="0" shapeId="0" xr:uid="{479CFDB4-C37F-B040-A121-9016C7431E6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10" authorId="0" shapeId="0" xr:uid="{805AA6D2-6369-9E49-A741-E2FE9547990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13" authorId="0" shapeId="0" xr:uid="{AC19ADB6-917E-4E40-A5E6-8213CAAA4FD6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13" authorId="0" shapeId="0" xr:uid="{FC74950A-F6AF-1645-AFE7-8E76CEEDB877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17" authorId="0" shapeId="0" xr:uid="{884333FD-DFD4-5841-B5A2-055E66329A5E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17" authorId="0" shapeId="0" xr:uid="{CAABD81B-EF94-429E-A838-97B68EA19223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23" authorId="0" shapeId="0" xr:uid="{29F0EEAB-05BE-C142-A8AA-F04EA57AF248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24" authorId="0" shapeId="0" xr:uid="{5014707D-2C36-AF4D-924F-0F124A97E8B1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25" authorId="0" shapeId="0" xr:uid="{AB24475B-3655-394C-953F-C80A2330E39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26" authorId="0" shapeId="0" xr:uid="{4DCB3FE0-7D97-0749-B764-43B8AEC8FF7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29" authorId="0" shapeId="0" xr:uid="{0E2AAEE8-B163-BF4B-87D5-B69602F36091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29" authorId="0" shapeId="0" xr:uid="{F23EF6F1-B846-D843-AD21-71CA89F4D0A7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33" authorId="0" shapeId="0" xr:uid="{5FE1034C-74A6-CF41-B2E0-CD6DC0B0BFFD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33" authorId="0" shapeId="0" xr:uid="{B886904D-24FF-4710-9E38-FD0AA7E73658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39" authorId="0" shapeId="0" xr:uid="{1EF44D1F-2D57-9A4B-AD90-BEC1403E843F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40" authorId="0" shapeId="0" xr:uid="{D0176053-EBC3-2C41-A904-B906371F3C8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41" authorId="0" shapeId="0" xr:uid="{D9CF921E-56E0-F040-A2E8-93EE1B87BAF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42" authorId="0" shapeId="0" xr:uid="{408733D8-4C51-334D-87FE-C46B842A233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45" authorId="0" shapeId="0" xr:uid="{5EA896E0-EED5-7147-8CD5-84C45363F907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45" authorId="0" shapeId="0" xr:uid="{2D75FD25-5ADC-5047-BEF4-086CE28A8A4E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49" authorId="0" shapeId="0" xr:uid="{D1327EDA-8A2B-694C-B844-A90FAE5DE06D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49" authorId="0" shapeId="0" xr:uid="{CE32A2F1-3900-494C-944A-B3E87CC39BD5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55" authorId="0" shapeId="0" xr:uid="{5477996D-2538-7042-AF86-65246CD536E1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56" authorId="0" shapeId="0" xr:uid="{4DE42032-3584-3541-848F-26BE9C860A03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57" authorId="0" shapeId="0" xr:uid="{E24FD53D-B6F1-1E44-B124-C751B461F064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58" authorId="0" shapeId="0" xr:uid="{53795F91-64BD-104B-BED4-13F5E6CEFDFB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61" authorId="0" shapeId="0" xr:uid="{36666776-471E-5F41-BECE-BD05A748BFEB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61" authorId="0" shapeId="0" xr:uid="{ABE0D0F5-6F52-7A4D-8032-D1A55EDBBA96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65" authorId="0" shapeId="0" xr:uid="{F852736B-D19F-EB44-8174-9BA8070726C4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65" authorId="0" shapeId="0" xr:uid="{7F1BC307-59FE-4C27-9F5E-6CB71B8F9DE2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71" authorId="0" shapeId="0" xr:uid="{1A58A5CB-EB0B-CC41-8FD5-670F40A23827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72" authorId="0" shapeId="0" xr:uid="{62E730E4-D441-024E-BA9F-4A6E182CA36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73" authorId="0" shapeId="0" xr:uid="{34A9D493-A024-E249-9A39-C9517848C809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74" authorId="0" shapeId="0" xr:uid="{0A28109C-1EEF-8B42-9C34-654AC067ED68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77" authorId="0" shapeId="0" xr:uid="{6A61C96C-8DAD-014C-B28F-1E44DD4C630B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77" authorId="0" shapeId="0" xr:uid="{210C0ED9-B087-1741-A57C-C4D5635AB8A5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81" authorId="0" shapeId="0" xr:uid="{9CF532C2-72D5-8848-A388-A2894738FE87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81" authorId="0" shapeId="0" xr:uid="{5110CC89-B341-419E-9740-2E3F35B659D0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387" authorId="0" shapeId="0" xr:uid="{A8EB8E0A-5C02-9148-B916-E36FBBB340CA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388" authorId="0" shapeId="0" xr:uid="{9B493EA7-2229-9042-BAD8-771814D20D2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89" authorId="0" shapeId="0" xr:uid="{59ABA1E1-5FCE-4949-A6BF-D94983E7A5D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390" authorId="0" shapeId="0" xr:uid="{012B1EFB-2755-6F4C-A713-AB87F66495B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393" authorId="0" shapeId="0" xr:uid="{7DCF4DBB-BA5F-5E46-93B6-DD12BB2AA652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393" authorId="0" shapeId="0" xr:uid="{D7984C6C-7BC0-A744-9728-B36564BC2593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397" authorId="0" shapeId="0" xr:uid="{B2B3E1E6-7524-634D-B180-2F847E06044E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397" authorId="0" shapeId="0" xr:uid="{FED51829-04C8-4227-BCE0-EE7BB13DF0CC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403" authorId="0" shapeId="0" xr:uid="{86FA53BB-3721-6C40-A626-288D4788E5FB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04" authorId="0" shapeId="0" xr:uid="{595FADD9-2D63-8246-8868-03CF4EF4000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05" authorId="0" shapeId="0" xr:uid="{8B370BFD-1C7B-D04F-AEB0-39EA4955E19E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06" authorId="0" shapeId="0" xr:uid="{14326734-F82C-FE45-A855-D48CE19A3F1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09" authorId="0" shapeId="0" xr:uid="{78A8E966-C78F-EE46-B3F7-679CB5128E32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09" authorId="0" shapeId="0" xr:uid="{0414FCFD-2FF1-4F43-91BF-70CAE07E45D1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13" authorId="0" shapeId="0" xr:uid="{C2B627DA-21EE-4C4B-AFE8-5A59AF4B54BA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13" authorId="0" shapeId="0" xr:uid="{EBC6A0A6-98AD-42D9-AC85-A7123B5B4526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419" authorId="0" shapeId="0" xr:uid="{A0495D65-50B2-4440-976D-F8E97798C1DD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20" authorId="0" shapeId="0" xr:uid="{E089D8A4-9085-B04B-B387-55214DA9EEC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21" authorId="0" shapeId="0" xr:uid="{C6F2FF48-41FC-E54E-849F-6A4B4EAC2AB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22" authorId="0" shapeId="0" xr:uid="{C7CFCF69-EABF-C242-9626-6EE0E6B369A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25" authorId="0" shapeId="0" xr:uid="{FC26EC5D-A42D-C241-AB2C-FD18998A37E7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25" authorId="0" shapeId="0" xr:uid="{8957C216-627F-724A-8D5B-C4FD2B48F161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29" authorId="0" shapeId="0" xr:uid="{B41E9179-579C-AB49-A64C-DB8A155BF7CC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29" authorId="0" shapeId="0" xr:uid="{2C84B6FF-B22F-48F1-8ED2-F4FFC049B7F9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435" authorId="0" shapeId="0" xr:uid="{1C1ACDC2-A97C-8248-9DB3-B30574ADE26C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36" authorId="0" shapeId="0" xr:uid="{0243C9C6-0CC1-894A-A098-6EB5151EAA5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37" authorId="0" shapeId="0" xr:uid="{97141D8E-30D8-1445-B1CD-6B819623BDEA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38" authorId="0" shapeId="0" xr:uid="{A4E9628D-14E0-354E-A686-7F1C219FD565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41" authorId="0" shapeId="0" xr:uid="{7EFEE15B-EE0A-AA4E-AB07-1248994C197F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41" authorId="0" shapeId="0" xr:uid="{88F99E5F-D7D5-FE4E-BCE6-F14F1EC7A7A9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45" authorId="0" shapeId="0" xr:uid="{DA0DFEB9-D1E1-C048-8E45-0A6FBAC99C69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45" authorId="0" shapeId="0" xr:uid="{85FB511F-8925-46B1-9619-73098101B381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451" authorId="0" shapeId="0" xr:uid="{51AA48B7-5984-BE47-BB04-A5DD18DD26EF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52" authorId="0" shapeId="0" xr:uid="{9E185DC9-2FAB-5840-9F74-865E820D5872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53" authorId="0" shapeId="0" xr:uid="{5C2F57B3-4C09-F94A-9CD8-663D91588ECC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54" authorId="0" shapeId="0" xr:uid="{30BDAE98-BD68-DC44-B58F-8C44EC5A4A1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57" authorId="0" shapeId="0" xr:uid="{F40B934E-FC69-FC46-A98F-E41EABBB270C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57" authorId="0" shapeId="0" xr:uid="{91E04430-0FB1-1D40-9C30-6858D69C67D3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61" authorId="0" shapeId="0" xr:uid="{73AA2C74-6B90-5E4F-979E-4AD70F81963F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61" authorId="0" shapeId="0" xr:uid="{EB84FD27-6B38-4010-8140-1490ABA8E802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C467" authorId="0" shapeId="0" xr:uid="{5256962B-B933-424C-B96F-F0E0D6B15460}">
      <text>
        <r>
          <rPr>
            <sz val="8"/>
            <color rgb="FF000000"/>
            <rFont val="Tahoma"/>
            <family val="2"/>
          </rPr>
          <t xml:space="preserve">Descrivi brevemente la fase di lavorazione che stai per misurare
</t>
        </r>
      </text>
    </comment>
    <comment ref="C468" authorId="0" shapeId="0" xr:uid="{95842F7D-C6AD-8E4F-9A73-2E8A596AB2DD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69" authorId="0" shapeId="0" xr:uid="{F3493C8C-8F22-D048-9656-570BB7FCA390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C470" authorId="0" shapeId="0" xr:uid="{96CA8CCA-283D-9A40-A80F-E086B33335F6}">
      <text>
        <r>
          <rPr>
            <sz val="8"/>
            <color indexed="81"/>
            <rFont val="Tahoma"/>
            <family val="2"/>
          </rPr>
          <t xml:space="preserve">Elenca qui i macchinari che sono in funzione durante la misurazione sia quello nella postazione diretta, sia quelle rilevabili in modo indiretto.
</t>
        </r>
      </text>
    </comment>
    <comment ref="B473" authorId="0" shapeId="0" xr:uid="{A1CB8673-3136-2A43-9EAA-683AA0C89553}">
      <text>
        <r>
          <rPr>
            <sz val="8"/>
            <color rgb="FF000000"/>
            <rFont val="Tahoma"/>
            <family val="2"/>
          </rPr>
          <t xml:space="preserve">Elenca i lavoratori che sono esposti a questo tipo di rumore
</t>
        </r>
      </text>
    </comment>
    <comment ref="D473" authorId="0" shapeId="0" xr:uid="{2B20B759-CCD7-6D44-B896-CB5D149451AC}">
      <text>
        <r>
          <rPr>
            <b/>
            <sz val="8"/>
            <color rgb="FF000000"/>
            <rFont val="Tahoma"/>
            <family val="2"/>
          </rPr>
          <t>Inserisci i tempi di esposizione per ogni lavoratore su cui poi calcolerai il LEX,8h</t>
        </r>
      </text>
    </comment>
    <comment ref="F477" authorId="0" shapeId="0" xr:uid="{1F021450-FF85-A240-8686-7B31EC2DCE46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477" authorId="0" shapeId="0" xr:uid="{95D00F73-1020-41B1-88CB-1B7871E9ED07}">
      <text>
        <r>
          <rPr>
            <sz val="8"/>
            <color rgb="FF000000"/>
            <rFont val="Tahoma"/>
            <family val="2"/>
          </rPr>
          <t>Livello medio aritmetico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<sst xmlns="http://schemas.openxmlformats.org/spreadsheetml/2006/main" count="1164" uniqueCount="92">
  <si>
    <t>Postazione di analisi n. 1</t>
  </si>
  <si>
    <t>Condizione di misura</t>
  </si>
  <si>
    <r>
      <t xml:space="preserve">SORGENTI DI RUMORE </t>
    </r>
    <r>
      <rPr>
        <sz val="6.5"/>
        <rFont val="Times New Roman"/>
        <family val="1"/>
      </rPr>
      <t>(Macchinari/Attrezzature utilizzate e/o in funzione )</t>
    </r>
  </si>
  <si>
    <t>Misura 1</t>
  </si>
  <si>
    <t>Attrezzature di lavoro e/o rumore di fondo ambientale</t>
  </si>
  <si>
    <t>Misura 2</t>
  </si>
  <si>
    <t>TEMPO TOTALE</t>
  </si>
  <si>
    <t>Misura 3</t>
  </si>
  <si>
    <t>=</t>
  </si>
  <si>
    <t>ore</t>
  </si>
  <si>
    <t>minuti</t>
  </si>
  <si>
    <t>Lavoratori esposti</t>
  </si>
  <si>
    <t>Esposiz. giorno</t>
  </si>
  <si>
    <t>Risultati misure</t>
  </si>
  <si>
    <t>LAeq,mi</t>
  </si>
  <si>
    <t>Gruppo Omogeneo</t>
  </si>
  <si>
    <t>Tm,j [min]</t>
  </si>
  <si>
    <t>dBA</t>
  </si>
  <si>
    <t>LCeq,mi</t>
  </si>
  <si>
    <t>dBC</t>
  </si>
  <si>
    <t>Lpicco,mi</t>
  </si>
  <si>
    <t>CONVERTITORE DA ORE A MINUTI</t>
  </si>
  <si>
    <t>LAeq,m1</t>
  </si>
  <si>
    <t>LCeq,m1</t>
  </si>
  <si>
    <t>Lpicco,m1</t>
  </si>
  <si>
    <t>LAeq,m2</t>
  </si>
  <si>
    <t>LCeq,m2</t>
  </si>
  <si>
    <t>Lpicco,m2</t>
  </si>
  <si>
    <t>LAeq,m3</t>
  </si>
  <si>
    <t>LCeq,m3</t>
  </si>
  <si>
    <t>Lpicco,m3</t>
  </si>
  <si>
    <t>Tm [min]</t>
  </si>
  <si>
    <t>LAeq,m</t>
  </si>
  <si>
    <t>LCeq,m</t>
  </si>
  <si>
    <t>Lpicco,m</t>
  </si>
  <si>
    <t>CONVERTITORE DA MINUTI AD ORE</t>
  </si>
  <si>
    <t>Tm [ore]</t>
  </si>
  <si>
    <t>Postazione di analisi n. 2</t>
  </si>
  <si>
    <t>Postazione di analisi n. 3</t>
  </si>
  <si>
    <t>Postazione di analisi n. 4</t>
  </si>
  <si>
    <t>Postazione di analisi n. 5</t>
  </si>
  <si>
    <t>Postazione di analisi n. 6</t>
  </si>
  <si>
    <t>Postazione di analisi n. 7</t>
  </si>
  <si>
    <t>Postazione di analisi n. 8</t>
  </si>
  <si>
    <t>Postazione di analisi n. 9</t>
  </si>
  <si>
    <t>Postazione di analisi n. 10</t>
  </si>
  <si>
    <t>Postazione di analisi n. 11</t>
  </si>
  <si>
    <t>Postazione di analisi n. 12</t>
  </si>
  <si>
    <t>Postazione di analisi n. 13</t>
  </si>
  <si>
    <t>Postazione di analisi n. 14</t>
  </si>
  <si>
    <t>Postazione di analisi n. 15</t>
  </si>
  <si>
    <t>Postazione di analisi n. 16</t>
  </si>
  <si>
    <t>Postazione di analisi n. 17</t>
  </si>
  <si>
    <t>Postazione di analisi n. 18</t>
  </si>
  <si>
    <t>Postazione di analisi n. 19</t>
  </si>
  <si>
    <t>Postazione di analisi n. 20</t>
  </si>
  <si>
    <t>Postazione di analisi n. 21</t>
  </si>
  <si>
    <t>Postazione di analisi n. 22</t>
  </si>
  <si>
    <t>Postazione di analisi n. 23</t>
  </si>
  <si>
    <t>Postazione di analisi n. 24</t>
  </si>
  <si>
    <t>Postazione di analisi n. 25</t>
  </si>
  <si>
    <t>Postazione di analisi n. 26</t>
  </si>
  <si>
    <t>Postazione di analisi n. 27</t>
  </si>
  <si>
    <t>Postazione di analisi n. 28</t>
  </si>
  <si>
    <t>Postazione di analisi n. 29</t>
  </si>
  <si>
    <t>Postazione di analisi n. 30</t>
  </si>
  <si>
    <t>LEX,8h [dBA]</t>
  </si>
  <si>
    <t>Gruppo omogeneo</t>
  </si>
  <si>
    <t>LAeq,m [dBA]</t>
  </si>
  <si>
    <t>Lpicco,m [dBC]</t>
  </si>
  <si>
    <t>C1a,m</t>
  </si>
  <si>
    <t>C1b,m</t>
  </si>
  <si>
    <t>Laeq medio [dBA]</t>
  </si>
  <si>
    <t>U1a,m [dBA]</t>
  </si>
  <si>
    <t>U1b,m [dBA]</t>
  </si>
  <si>
    <t>U2,m [dBA]</t>
  </si>
  <si>
    <t>U3 [dBA]</t>
  </si>
  <si>
    <r>
      <t>u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(LEX,8h)</t>
    </r>
  </si>
  <si>
    <t>u(LEX,8h)</t>
  </si>
  <si>
    <t>U(LEX,8h) [dBA]</t>
  </si>
  <si>
    <t>L'EX,8h [dBA]</t>
  </si>
  <si>
    <t>Ppeak max [dBC]</t>
  </si>
  <si>
    <t>METODO DI CALCOLO SNR EN UNI 458/2005</t>
  </si>
  <si>
    <t>Valore SNR</t>
  </si>
  <si>
    <t>Lact = 80 dBA</t>
  </si>
  <si>
    <t>Postazione</t>
  </si>
  <si>
    <t>LCeq,m [dBC]</t>
  </si>
  <si>
    <t>β</t>
  </si>
  <si>
    <t>L'Aeq,m [dBA]</t>
  </si>
  <si>
    <t>Stima della protezione</t>
  </si>
  <si>
    <t>L'EX,8h SNR [dBA]</t>
  </si>
  <si>
    <t>L'EX,8hmax SNR [dBA]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</si>
</sst>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i/>
      <sz val="10"/>
      <name val="Times New Roman"/>
      <family val="1"/>
    </font>
    <font>
      <sz val="8"/>
      <color indexed="81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sz val="12"/>
      <name val="Times New Roman"/>
      <family val="1"/>
    </font>
    <font>
      <sz val="12"/>
      <color theme="1"/>
      <name val="Abadi Extra Light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double">
        <color indexed="17"/>
      </left>
      <right style="thin">
        <color indexed="64"/>
      </right>
      <top style="double">
        <color indexed="17"/>
      </top>
      <bottom/>
      <diagonal/>
    </border>
    <border>
      <left style="thin">
        <color indexed="64"/>
      </left>
      <right style="hair">
        <color indexed="64"/>
      </right>
      <top style="double">
        <color indexed="17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17"/>
      </top>
      <bottom style="thin">
        <color indexed="64"/>
      </bottom>
      <diagonal/>
    </border>
    <border>
      <left style="hair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17"/>
      </bottom>
      <diagonal/>
    </border>
    <border>
      <left/>
      <right/>
      <top style="thin">
        <color indexed="64"/>
      </top>
      <bottom style="double">
        <color indexed="17"/>
      </bottom>
      <diagonal/>
    </border>
    <border>
      <left/>
      <right style="double">
        <color indexed="17"/>
      </right>
      <top style="thin">
        <color indexed="64"/>
      </top>
      <bottom style="double">
        <color indexed="17"/>
      </bottom>
      <diagonal/>
    </border>
    <border>
      <left/>
      <right/>
      <top style="double">
        <color indexed="17"/>
      </top>
      <bottom/>
      <diagonal/>
    </border>
    <border>
      <left/>
      <right style="thin">
        <color indexed="64"/>
      </right>
      <top style="double">
        <color indexed="56"/>
      </top>
      <bottom style="thin">
        <color indexed="64"/>
      </bottom>
      <diagonal/>
    </border>
    <border>
      <left style="thin">
        <color indexed="64"/>
      </left>
      <right style="double">
        <color indexed="56"/>
      </right>
      <top style="double">
        <color indexed="56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56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56"/>
      </left>
      <right/>
      <top style="double">
        <color indexed="56"/>
      </top>
      <bottom style="thin">
        <color indexed="64"/>
      </bottom>
      <diagonal/>
    </border>
    <border>
      <left style="double">
        <color indexed="56"/>
      </left>
      <right/>
      <top style="thin">
        <color indexed="64"/>
      </top>
      <bottom style="thin">
        <color indexed="64"/>
      </bottom>
      <diagonal/>
    </border>
    <border>
      <left style="double">
        <color indexed="56"/>
      </left>
      <right/>
      <top style="thin">
        <color indexed="64"/>
      </top>
      <bottom/>
      <diagonal/>
    </border>
    <border>
      <left style="double">
        <color indexed="56"/>
      </left>
      <right/>
      <top/>
      <bottom style="double">
        <color indexed="56"/>
      </bottom>
      <diagonal/>
    </border>
    <border>
      <left/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double">
        <color indexed="56"/>
      </right>
      <top style="thin">
        <color indexed="64"/>
      </top>
      <bottom style="double">
        <color indexed="56"/>
      </bottom>
      <diagonal/>
    </border>
    <border>
      <left style="double">
        <color indexed="17"/>
      </left>
      <right style="double">
        <color indexed="64"/>
      </right>
      <top style="double">
        <color indexed="17"/>
      </top>
      <bottom style="double">
        <color indexed="17"/>
      </bottom>
      <diagonal/>
    </border>
    <border>
      <left style="double">
        <color indexed="64"/>
      </left>
      <right style="hair">
        <color indexed="64"/>
      </right>
      <top style="double">
        <color indexed="17"/>
      </top>
      <bottom style="double">
        <color indexed="17"/>
      </bottom>
      <diagonal/>
    </border>
    <border>
      <left style="hair">
        <color indexed="64"/>
      </left>
      <right/>
      <top style="double">
        <color indexed="17"/>
      </top>
      <bottom style="double">
        <color indexed="17"/>
      </bottom>
      <diagonal/>
    </border>
    <border>
      <left/>
      <right/>
      <top style="double">
        <color indexed="17"/>
      </top>
      <bottom style="double">
        <color indexed="17"/>
      </bottom>
      <diagonal/>
    </border>
    <border>
      <left/>
      <right style="double">
        <color indexed="17"/>
      </right>
      <top style="double">
        <color indexed="17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/>
      <bottom style="double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auto="1"/>
      </left>
      <right/>
      <top/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17"/>
      </top>
      <bottom style="thin">
        <color indexed="64"/>
      </bottom>
      <diagonal/>
    </border>
    <border>
      <left/>
      <right/>
      <top style="double">
        <color indexed="17"/>
      </top>
      <bottom style="thin">
        <color indexed="64"/>
      </bottom>
      <diagonal/>
    </border>
    <border>
      <left/>
      <right style="double">
        <color indexed="17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56"/>
      </left>
      <right/>
      <top/>
      <bottom/>
      <diagonal/>
    </border>
    <border>
      <left style="thin">
        <color indexed="64"/>
      </left>
      <right style="double">
        <color indexed="56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17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7">
    <xf numFmtId="0" fontId="0" fillId="0" borderId="0" xfId="0"/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19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2" fontId="12" fillId="0" borderId="19" xfId="0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left" vertical="top" wrapText="1"/>
    </xf>
    <xf numFmtId="165" fontId="12" fillId="0" borderId="0" xfId="0" applyNumberFormat="1" applyFont="1" applyAlignment="1">
      <alignment horizontal="center" vertical="center"/>
    </xf>
    <xf numFmtId="164" fontId="12" fillId="0" borderId="46" xfId="0" applyNumberFormat="1" applyFont="1" applyBorder="1" applyAlignment="1">
      <alignment horizontal="center" vertical="center"/>
    </xf>
    <xf numFmtId="0" fontId="12" fillId="0" borderId="47" xfId="0" applyFont="1" applyBorder="1"/>
    <xf numFmtId="164" fontId="12" fillId="0" borderId="45" xfId="0" applyNumberFormat="1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center" vertical="center"/>
    </xf>
    <xf numFmtId="164" fontId="12" fillId="0" borderId="55" xfId="0" applyNumberFormat="1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wrapText="1"/>
    </xf>
    <xf numFmtId="0" fontId="13" fillId="3" borderId="56" xfId="0" applyFont="1" applyFill="1" applyBorder="1"/>
    <xf numFmtId="0" fontId="13" fillId="3" borderId="57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164" fontId="13" fillId="0" borderId="23" xfId="0" applyNumberFormat="1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center"/>
    </xf>
    <xf numFmtId="0" fontId="3" fillId="4" borderId="65" xfId="0" applyFont="1" applyFill="1" applyBorder="1" applyAlignment="1" applyProtection="1">
      <alignment horizontal="center" vertical="center" wrapText="1" readingOrder="1"/>
      <protection locked="0"/>
    </xf>
    <xf numFmtId="1" fontId="3" fillId="4" borderId="17" xfId="0" applyNumberFormat="1" applyFont="1" applyFill="1" applyBorder="1" applyAlignment="1" applyProtection="1">
      <alignment horizontal="center" vertical="center" wrapText="1" readingOrder="1"/>
      <protection locked="0"/>
    </xf>
    <xf numFmtId="0" fontId="3" fillId="4" borderId="17" xfId="0" applyFont="1" applyFill="1" applyBorder="1" applyAlignment="1" applyProtection="1">
      <alignment horizontal="center" vertical="center" wrapText="1" readingOrder="1"/>
      <protection locked="0"/>
    </xf>
    <xf numFmtId="0" fontId="12" fillId="0" borderId="0" xfId="0" applyFont="1" applyProtection="1">
      <protection locked="0"/>
    </xf>
    <xf numFmtId="0" fontId="13" fillId="3" borderId="19" xfId="0" applyFont="1" applyFill="1" applyBorder="1" applyAlignment="1">
      <alignment horizontal="center" vertical="center"/>
    </xf>
    <xf numFmtId="0" fontId="12" fillId="4" borderId="19" xfId="0" applyFont="1" applyFill="1" applyBorder="1" applyAlignment="1" applyProtection="1">
      <alignment horizontal="center" vertical="center"/>
      <protection locked="0"/>
    </xf>
    <xf numFmtId="0" fontId="17" fillId="4" borderId="59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 readingOrder="1"/>
    </xf>
    <xf numFmtId="0" fontId="4" fillId="0" borderId="37" xfId="0" applyFont="1" applyBorder="1" applyAlignment="1">
      <alignment horizontal="center" vertical="center" wrapText="1" readingOrder="1"/>
    </xf>
    <xf numFmtId="0" fontId="12" fillId="6" borderId="67" xfId="0" applyFont="1" applyFill="1" applyBorder="1"/>
    <xf numFmtId="0" fontId="17" fillId="6" borderId="68" xfId="0" applyFont="1" applyFill="1" applyBorder="1" applyAlignment="1">
      <alignment horizontal="center" vertical="center"/>
    </xf>
    <xf numFmtId="0" fontId="12" fillId="6" borderId="21" xfId="0" applyFont="1" applyFill="1" applyBorder="1"/>
    <xf numFmtId="0" fontId="5" fillId="0" borderId="2" xfId="0" applyFont="1" applyBorder="1" applyAlignment="1">
      <alignment horizontal="center" vertical="center" wrapText="1" readingOrder="1"/>
    </xf>
    <xf numFmtId="0" fontId="12" fillId="6" borderId="66" xfId="0" applyFont="1" applyFill="1" applyBorder="1"/>
    <xf numFmtId="0" fontId="12" fillId="6" borderId="22" xfId="0" applyFont="1" applyFill="1" applyBorder="1"/>
    <xf numFmtId="0" fontId="5" fillId="0" borderId="5" xfId="0" applyFont="1" applyBorder="1" applyAlignment="1">
      <alignment horizontal="center" vertical="center" wrapText="1" readingOrder="1"/>
    </xf>
    <xf numFmtId="0" fontId="17" fillId="0" borderId="1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 readingOrder="1"/>
    </xf>
    <xf numFmtId="164" fontId="17" fillId="0" borderId="55" xfId="0" applyNumberFormat="1" applyFont="1" applyBorder="1" applyAlignment="1">
      <alignment horizontal="center" vertical="center"/>
    </xf>
    <xf numFmtId="2" fontId="17" fillId="0" borderId="63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 readingOrder="1"/>
    </xf>
    <xf numFmtId="0" fontId="17" fillId="6" borderId="0" xfId="0" applyFont="1" applyFill="1" applyAlignment="1">
      <alignment horizontal="center" vertical="center"/>
    </xf>
    <xf numFmtId="0" fontId="3" fillId="0" borderId="17" xfId="0" applyFont="1" applyBorder="1" applyAlignment="1">
      <alignment horizontal="center" vertical="center" wrapText="1" readingOrder="1"/>
    </xf>
    <xf numFmtId="0" fontId="3" fillId="0" borderId="26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 wrapText="1" readingOrder="1"/>
    </xf>
    <xf numFmtId="0" fontId="12" fillId="6" borderId="22" xfId="0" applyFont="1" applyFill="1" applyBorder="1" applyAlignment="1">
      <alignment horizontal="center"/>
    </xf>
    <xf numFmtId="1" fontId="3" fillId="5" borderId="17" xfId="0" applyNumberFormat="1" applyFont="1" applyFill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2" fontId="17" fillId="0" borderId="19" xfId="0" applyNumberFormat="1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2" fillId="0" borderId="0" xfId="0" applyFont="1" applyAlignment="1">
      <alignment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164" fontId="7" fillId="0" borderId="48" xfId="0" applyNumberFormat="1" applyFont="1" applyBorder="1" applyAlignment="1" applyProtection="1">
      <alignment horizontal="center" vertical="center" wrapText="1" readingOrder="1"/>
      <protection hidden="1"/>
    </xf>
    <xf numFmtId="0" fontId="3" fillId="0" borderId="45" xfId="0" applyFont="1" applyBorder="1" applyAlignment="1">
      <alignment horizontal="center" vertical="center" wrapText="1" readingOrder="1"/>
    </xf>
    <xf numFmtId="164" fontId="7" fillId="0" borderId="46" xfId="0" applyNumberFormat="1" applyFont="1" applyBorder="1" applyAlignment="1" applyProtection="1">
      <alignment horizontal="center" vertical="center" wrapText="1" readingOrder="1"/>
      <protection hidden="1"/>
    </xf>
    <xf numFmtId="0" fontId="3" fillId="0" borderId="0" xfId="0" applyFont="1" applyAlignment="1">
      <alignment horizontal="center" vertical="center" wrapText="1" readingOrder="1"/>
    </xf>
    <xf numFmtId="164" fontId="7" fillId="0" borderId="0" xfId="0" applyNumberFormat="1" applyFont="1" applyAlignment="1" applyProtection="1">
      <alignment horizontal="center" vertical="center" wrapText="1" readingOrder="1"/>
      <protection hidden="1"/>
    </xf>
    <xf numFmtId="0" fontId="3" fillId="0" borderId="65" xfId="0" applyFont="1" applyBorder="1" applyAlignment="1">
      <alignment horizontal="center" vertical="center" wrapText="1" readingOrder="1"/>
    </xf>
    <xf numFmtId="2" fontId="3" fillId="5" borderId="35" xfId="0" applyNumberFormat="1" applyFont="1" applyFill="1" applyBorder="1" applyAlignment="1">
      <alignment horizontal="center" vertical="center" wrapText="1" readingOrder="1"/>
    </xf>
    <xf numFmtId="49" fontId="6" fillId="0" borderId="0" xfId="0" applyNumberFormat="1" applyFont="1" applyAlignment="1" applyProtection="1">
      <alignment horizontal="center" vertical="center" wrapText="1" readingOrder="1"/>
      <protection hidden="1"/>
    </xf>
    <xf numFmtId="164" fontId="5" fillId="0" borderId="0" xfId="0" applyNumberFormat="1" applyFont="1" applyAlignment="1" applyProtection="1">
      <alignment horizontal="center" vertical="center" wrapText="1" readingOrder="1"/>
      <protection hidden="1"/>
    </xf>
    <xf numFmtId="0" fontId="6" fillId="0" borderId="0" xfId="0" applyFont="1" applyAlignment="1" applyProtection="1">
      <alignment horizontal="center" vertical="center" wrapText="1" readingOrder="1"/>
      <protection hidden="1"/>
    </xf>
    <xf numFmtId="49" fontId="5" fillId="0" borderId="0" xfId="0" applyNumberFormat="1" applyFont="1" applyAlignment="1" applyProtection="1">
      <alignment horizontal="center" vertical="center" wrapText="1" readingOrder="1"/>
      <protection hidden="1"/>
    </xf>
    <xf numFmtId="0" fontId="12" fillId="6" borderId="61" xfId="0" applyFont="1" applyFill="1" applyBorder="1"/>
    <xf numFmtId="0" fontId="17" fillId="6" borderId="62" xfId="0" applyFont="1" applyFill="1" applyBorder="1" applyAlignment="1">
      <alignment horizontal="center" vertical="center"/>
    </xf>
    <xf numFmtId="0" fontId="12" fillId="6" borderId="63" xfId="0" applyFont="1" applyFill="1" applyBorder="1"/>
    <xf numFmtId="0" fontId="12" fillId="0" borderId="43" xfId="0" applyFont="1" applyBorder="1"/>
    <xf numFmtId="0" fontId="3" fillId="0" borderId="27" xfId="0" applyFont="1" applyBorder="1" applyAlignment="1">
      <alignment horizontal="center" vertical="center" wrapText="1" readingOrder="1"/>
    </xf>
    <xf numFmtId="164" fontId="7" fillId="0" borderId="29" xfId="0" applyNumberFormat="1" applyFont="1" applyBorder="1" applyAlignment="1" applyProtection="1">
      <alignment horizontal="center" vertical="center" wrapText="1" readingOrder="1"/>
      <protection hidden="1"/>
    </xf>
    <xf numFmtId="164" fontId="7" fillId="0" borderId="28" xfId="0" applyNumberFormat="1" applyFont="1" applyBorder="1" applyAlignment="1" applyProtection="1">
      <alignment horizontal="center" vertical="center" wrapText="1" readingOrder="1"/>
      <protection hidden="1"/>
    </xf>
    <xf numFmtId="2" fontId="3" fillId="0" borderId="35" xfId="0" applyNumberFormat="1" applyFont="1" applyBorder="1" applyAlignment="1">
      <alignment horizontal="center" vertical="center" wrapText="1" readingOrder="1"/>
    </xf>
    <xf numFmtId="0" fontId="12" fillId="0" borderId="19" xfId="0" applyFont="1" applyBorder="1"/>
    <xf numFmtId="49" fontId="12" fillId="0" borderId="19" xfId="0" applyNumberFormat="1" applyFont="1" applyBorder="1"/>
    <xf numFmtId="164" fontId="20" fillId="0" borderId="0" xfId="0" applyNumberFormat="1" applyFont="1"/>
    <xf numFmtId="164" fontId="16" fillId="0" borderId="0" xfId="0" applyNumberFormat="1" applyFont="1"/>
    <xf numFmtId="0" fontId="13" fillId="3" borderId="15" xfId="0" applyFont="1" applyFill="1" applyBorder="1" applyAlignment="1">
      <alignment horizontal="center" vertical="center" wrapText="1"/>
    </xf>
    <xf numFmtId="164" fontId="12" fillId="0" borderId="60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left" vertical="center" wrapText="1"/>
    </xf>
    <xf numFmtId="0" fontId="12" fillId="0" borderId="64" xfId="0" applyFont="1" applyBorder="1" applyAlignment="1">
      <alignment vertical="center" wrapText="1" readingOrder="1"/>
    </xf>
    <xf numFmtId="0" fontId="12" fillId="0" borderId="70" xfId="0" applyFont="1" applyBorder="1"/>
    <xf numFmtId="0" fontId="6" fillId="0" borderId="71" xfId="0" applyFont="1" applyBorder="1" applyAlignment="1">
      <alignment horizontal="center" vertical="center" wrapText="1" readingOrder="1"/>
    </xf>
    <xf numFmtId="164" fontId="5" fillId="5" borderId="16" xfId="0" applyNumberFormat="1" applyFont="1" applyFill="1" applyBorder="1" applyAlignment="1" applyProtection="1">
      <alignment horizontal="center"/>
      <protection hidden="1"/>
    </xf>
    <xf numFmtId="164" fontId="5" fillId="5" borderId="24" xfId="0" applyNumberFormat="1" applyFont="1" applyFill="1" applyBorder="1" applyAlignment="1" applyProtection="1">
      <alignment horizontal="center" vertical="center" wrapText="1" readingOrder="1"/>
      <protection hidden="1"/>
    </xf>
    <xf numFmtId="164" fontId="5" fillId="5" borderId="44" xfId="0" applyNumberFormat="1" applyFont="1" applyFill="1" applyBorder="1" applyAlignment="1" applyProtection="1">
      <alignment horizontal="center" vertical="center" wrapText="1" readingOrder="1"/>
      <protection hidden="1"/>
    </xf>
    <xf numFmtId="164" fontId="5" fillId="5" borderId="20" xfId="0" applyNumberFormat="1" applyFont="1" applyFill="1" applyBorder="1" applyAlignment="1" applyProtection="1">
      <alignment horizontal="center"/>
      <protection hidden="1"/>
    </xf>
    <xf numFmtId="0" fontId="12" fillId="4" borderId="72" xfId="0" applyFont="1" applyFill="1" applyBorder="1" applyAlignment="1" applyProtection="1">
      <alignment horizontal="center" vertical="center"/>
      <protection locked="0"/>
    </xf>
    <xf numFmtId="0" fontId="12" fillId="6" borderId="0" xfId="0" applyFont="1" applyFill="1"/>
    <xf numFmtId="0" fontId="12" fillId="6" borderId="68" xfId="0" applyFont="1" applyFill="1" applyBorder="1"/>
    <xf numFmtId="0" fontId="6" fillId="6" borderId="22" xfId="0" applyFont="1" applyFill="1" applyBorder="1" applyAlignment="1">
      <alignment horizontal="center" vertical="center" wrapText="1" readingOrder="1"/>
    </xf>
    <xf numFmtId="0" fontId="12" fillId="6" borderId="22" xfId="0" applyFont="1" applyFill="1" applyBorder="1" applyAlignment="1" applyProtection="1">
      <alignment horizontal="center" vertical="center"/>
      <protection locked="0"/>
    </xf>
    <xf numFmtId="0" fontId="12" fillId="6" borderId="62" xfId="0" applyFont="1" applyFill="1" applyBorder="1"/>
    <xf numFmtId="0" fontId="21" fillId="0" borderId="0" xfId="0" applyFont="1"/>
    <xf numFmtId="49" fontId="5" fillId="4" borderId="38" xfId="0" applyNumberFormat="1" applyFont="1" applyFill="1" applyBorder="1" applyAlignment="1" applyProtection="1">
      <alignment horizontal="center" vertical="center" wrapText="1" readingOrder="1"/>
      <protection locked="0"/>
    </xf>
    <xf numFmtId="49" fontId="5" fillId="4" borderId="39" xfId="0" applyNumberFormat="1" applyFont="1" applyFill="1" applyBorder="1" applyAlignment="1" applyProtection="1">
      <alignment horizontal="center" vertical="center" wrapText="1" readingOrder="1"/>
      <protection locked="0"/>
    </xf>
    <xf numFmtId="49" fontId="5" fillId="4" borderId="40" xfId="0" applyNumberFormat="1" applyFont="1" applyFill="1" applyBorder="1" applyAlignment="1" applyProtection="1">
      <alignment horizontal="center" vertical="center" wrapText="1" readingOrder="1"/>
      <protection locked="0"/>
    </xf>
    <xf numFmtId="0" fontId="18" fillId="0" borderId="1" xfId="0" applyFont="1" applyBorder="1" applyAlignment="1">
      <alignment horizontal="center" vertical="center" wrapText="1" readingOrder="1"/>
    </xf>
    <xf numFmtId="0" fontId="18" fillId="0" borderId="69" xfId="0" applyFont="1" applyBorder="1" applyAlignment="1">
      <alignment horizontal="center" vertical="center" wrapText="1" readingOrder="1"/>
    </xf>
    <xf numFmtId="0" fontId="18" fillId="0" borderId="41" xfId="0" applyFont="1" applyBorder="1" applyAlignment="1">
      <alignment horizontal="center" vertical="center" wrapText="1" readingOrder="1"/>
    </xf>
    <xf numFmtId="49" fontId="5" fillId="0" borderId="3" xfId="0" applyNumberFormat="1" applyFont="1" applyBorder="1" applyAlignment="1">
      <alignment horizontal="left" vertical="center" wrapText="1" readingOrder="1"/>
    </xf>
    <xf numFmtId="49" fontId="5" fillId="0" borderId="4" xfId="0" applyNumberFormat="1" applyFont="1" applyBorder="1" applyAlignment="1">
      <alignment horizontal="left" vertical="center" wrapText="1" readingOrder="1"/>
    </xf>
    <xf numFmtId="49" fontId="5" fillId="0" borderId="6" xfId="0" applyNumberFormat="1" applyFont="1" applyBorder="1" applyAlignment="1">
      <alignment horizontal="left" vertical="center" wrapText="1" readingOrder="1"/>
    </xf>
    <xf numFmtId="49" fontId="5" fillId="0" borderId="7" xfId="0" applyNumberFormat="1" applyFont="1" applyBorder="1" applyAlignment="1">
      <alignment horizontal="left" vertical="center" wrapText="1" readingOrder="1"/>
    </xf>
    <xf numFmtId="49" fontId="5" fillId="0" borderId="8" xfId="0" applyNumberFormat="1" applyFont="1" applyBorder="1" applyAlignment="1">
      <alignment horizontal="left" vertical="center" wrapText="1" readingOrder="1"/>
    </xf>
    <xf numFmtId="49" fontId="5" fillId="0" borderId="9" xfId="0" applyNumberFormat="1" applyFont="1" applyBorder="1" applyAlignment="1">
      <alignment horizontal="left" vertical="center" wrapText="1" readingOrder="1"/>
    </xf>
    <xf numFmtId="49" fontId="5" fillId="0" borderId="10" xfId="0" applyNumberFormat="1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49" fontId="5" fillId="0" borderId="51" xfId="0" applyNumberFormat="1" applyFont="1" applyBorder="1" applyAlignment="1">
      <alignment horizontal="left" vertical="center" wrapText="1" readingOrder="1"/>
    </xf>
    <xf numFmtId="49" fontId="5" fillId="0" borderId="52" xfId="0" applyNumberFormat="1" applyFont="1" applyBorder="1" applyAlignment="1">
      <alignment horizontal="left" vertical="center" wrapText="1" readingOrder="1"/>
    </xf>
    <xf numFmtId="49" fontId="5" fillId="0" borderId="53" xfId="0" applyNumberFormat="1" applyFont="1" applyBorder="1" applyAlignment="1">
      <alignment horizontal="left" vertical="center" wrapText="1" readingOrder="1"/>
    </xf>
    <xf numFmtId="49" fontId="5" fillId="0" borderId="25" xfId="0" applyNumberFormat="1" applyFont="1" applyBorder="1" applyAlignment="1">
      <alignment horizontal="left" vertical="center" wrapText="1" readingOrder="1"/>
    </xf>
    <xf numFmtId="49" fontId="5" fillId="0" borderId="49" xfId="0" applyNumberFormat="1" applyFont="1" applyBorder="1" applyAlignment="1">
      <alignment horizontal="left" vertical="center" wrapText="1" readingOrder="1"/>
    </xf>
    <xf numFmtId="49" fontId="5" fillId="0" borderId="50" xfId="0" applyNumberFormat="1" applyFont="1" applyBorder="1" applyAlignment="1">
      <alignment horizontal="left" vertical="center" wrapText="1" readingOrder="1"/>
    </xf>
    <xf numFmtId="0" fontId="5" fillId="4" borderId="32" xfId="0" applyFont="1" applyFill="1" applyBorder="1" applyAlignment="1" applyProtection="1">
      <alignment horizontal="center" vertical="center" wrapText="1"/>
      <protection locked="0"/>
    </xf>
    <xf numFmtId="0" fontId="5" fillId="4" borderId="21" xfId="0" applyFont="1" applyFill="1" applyBorder="1" applyAlignment="1" applyProtection="1">
      <alignment horizontal="center" vertical="center" wrapText="1"/>
      <protection locked="0"/>
    </xf>
    <xf numFmtId="0" fontId="5" fillId="4" borderId="64" xfId="0" applyFont="1" applyFill="1" applyBorder="1" applyAlignment="1" applyProtection="1">
      <alignment horizontal="center" vertical="center" wrapText="1"/>
      <protection locked="0"/>
    </xf>
    <xf numFmtId="0" fontId="5" fillId="4" borderId="22" xfId="0" applyFont="1" applyFill="1" applyBorder="1" applyAlignment="1" applyProtection="1">
      <alignment horizontal="center" vertical="center" wrapText="1"/>
      <protection locked="0"/>
    </xf>
    <xf numFmtId="0" fontId="5" fillId="4" borderId="33" xfId="0" applyFont="1" applyFill="1" applyBorder="1" applyAlignment="1" applyProtection="1">
      <alignment horizontal="center" vertical="center" wrapText="1"/>
      <protection locked="0"/>
    </xf>
    <xf numFmtId="0" fontId="5" fillId="4" borderId="34" xfId="0" applyFont="1" applyFill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49" fontId="8" fillId="0" borderId="31" xfId="0" applyNumberFormat="1" applyFont="1" applyBorder="1" applyAlignment="1">
      <alignment horizontal="center" vertical="center" wrapText="1" readingOrder="1"/>
    </xf>
    <xf numFmtId="49" fontId="8" fillId="0" borderId="16" xfId="0" applyNumberFormat="1" applyFont="1" applyBorder="1" applyAlignment="1">
      <alignment horizontal="center" vertical="center" wrapText="1" readingOrder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164" fontId="17" fillId="0" borderId="58" xfId="0" applyNumberFormat="1" applyFont="1" applyBorder="1" applyAlignment="1">
      <alignment horizontal="center" vertical="center"/>
    </xf>
    <xf numFmtId="164" fontId="17" fillId="0" borderId="55" xfId="0" applyNumberFormat="1" applyFont="1" applyBorder="1" applyAlignment="1">
      <alignment horizontal="center" vertical="center"/>
    </xf>
    <xf numFmtId="0" fontId="17" fillId="0" borderId="67" xfId="0" applyFont="1" applyBorder="1" applyAlignment="1">
      <alignment horizontal="center"/>
    </xf>
    <xf numFmtId="0" fontId="17" fillId="0" borderId="68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3" fillId="3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59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16" xfId="0" applyFont="1" applyBorder="1" applyAlignment="1">
      <alignment horizontal="left"/>
    </xf>
  </cellXfs>
  <cellStyles count="5">
    <cellStyle name="Collegamento ipertestuale" xfId="1" builtinId="8" hidden="1"/>
    <cellStyle name="Collegamento ipertestuale" xfId="3" builtinId="8" hidden="1"/>
    <cellStyle name="Collegamento ipertestuale visitato" xfId="2" builtinId="9" hidden="1"/>
    <cellStyle name="Collegamento ipertestuale visitato" xfId="4" builtinId="9" hidden="1"/>
    <cellStyle name="Normale" xfId="0" builtinId="0"/>
  </cellStyles>
  <dxfs count="5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65DB-276A-4647-9F8C-7382CC7395D2}">
  <dimension ref="B2:Y481"/>
  <sheetViews>
    <sheetView tabSelected="1" zoomScale="85" zoomScaleNormal="85" workbookViewId="0">
      <selection activeCell="D14" sqref="D14"/>
    </sheetView>
  </sheetViews>
  <sheetFormatPr defaultColWidth="11" defaultRowHeight="15.4"/>
  <cols>
    <col min="1" max="1" width="5.125" style="3" customWidth="1"/>
    <col min="2" max="4" width="11" style="3"/>
    <col min="5" max="5" width="5.25" style="3" customWidth="1"/>
    <col min="6" max="12" width="11" style="3"/>
    <col min="13" max="13" width="3.5" style="3" customWidth="1"/>
    <col min="14" max="14" width="11" style="3" customWidth="1"/>
    <col min="15" max="15" width="3.5" style="3" customWidth="1"/>
    <col min="16" max="16" width="11" style="3" customWidth="1"/>
    <col min="17" max="17" width="11" style="3"/>
    <col min="18" max="19" width="11" style="32"/>
    <col min="20" max="20" width="11" style="32" customWidth="1"/>
    <col min="21" max="22" width="11" style="3"/>
    <col min="23" max="23" width="11" style="3" customWidth="1"/>
    <col min="24" max="16384" width="11" style="3"/>
  </cols>
  <sheetData>
    <row r="2" spans="2:21" ht="15.75" thickBot="1"/>
    <row r="3" spans="2:21" ht="27" customHeight="1" thickTop="1" thickBot="1">
      <c r="B3" s="33" t="s">
        <v>0</v>
      </c>
      <c r="C3" s="34" t="s">
        <v>1</v>
      </c>
      <c r="D3" s="102"/>
      <c r="E3" s="103"/>
      <c r="F3" s="103"/>
      <c r="G3" s="103"/>
      <c r="H3" s="103"/>
      <c r="I3" s="103"/>
      <c r="J3" s="103"/>
      <c r="K3" s="104"/>
      <c r="M3" s="35"/>
      <c r="N3" s="97"/>
      <c r="O3" s="37"/>
      <c r="Q3" s="35"/>
      <c r="R3" s="36"/>
      <c r="S3" s="36"/>
      <c r="T3" s="36"/>
      <c r="U3" s="37"/>
    </row>
    <row r="4" spans="2:21" ht="15.75" customHeight="1" thickTop="1">
      <c r="B4" s="105" t="s">
        <v>2</v>
      </c>
      <c r="C4" s="38" t="s">
        <v>3</v>
      </c>
      <c r="D4" s="108" t="s">
        <v>4</v>
      </c>
      <c r="E4" s="108"/>
      <c r="F4" s="108"/>
      <c r="G4" s="108"/>
      <c r="H4" s="108"/>
      <c r="I4" s="108"/>
      <c r="J4" s="108"/>
      <c r="K4" s="109"/>
      <c r="M4" s="39"/>
      <c r="N4" s="96"/>
      <c r="O4" s="40"/>
      <c r="Q4" s="39"/>
      <c r="R4" s="142">
        <f>B10</f>
        <v>0</v>
      </c>
      <c r="S4" s="143"/>
      <c r="T4" s="144"/>
      <c r="U4" s="40"/>
    </row>
    <row r="5" spans="2:21">
      <c r="B5" s="106"/>
      <c r="C5" s="41" t="s">
        <v>5</v>
      </c>
      <c r="D5" s="110" t="s">
        <v>4</v>
      </c>
      <c r="E5" s="110"/>
      <c r="F5" s="110"/>
      <c r="G5" s="110"/>
      <c r="H5" s="110"/>
      <c r="I5" s="110"/>
      <c r="J5" s="110"/>
      <c r="K5" s="111"/>
      <c r="M5" s="39"/>
      <c r="N5" s="96"/>
      <c r="O5" s="40"/>
      <c r="Q5" s="39"/>
      <c r="R5" s="141" t="s">
        <v>6</v>
      </c>
      <c r="S5" s="141"/>
      <c r="T5" s="141"/>
      <c r="U5" s="40"/>
    </row>
    <row r="6" spans="2:21" ht="15.75" thickBot="1">
      <c r="B6" s="107"/>
      <c r="C6" s="43" t="s">
        <v>7</v>
      </c>
      <c r="D6" s="112" t="s">
        <v>4</v>
      </c>
      <c r="E6" s="113"/>
      <c r="F6" s="113"/>
      <c r="G6" s="113"/>
      <c r="H6" s="113"/>
      <c r="I6" s="113"/>
      <c r="J6" s="113"/>
      <c r="K6" s="114"/>
      <c r="M6" s="39"/>
      <c r="N6" s="96"/>
      <c r="O6" s="40"/>
      <c r="Q6" s="39"/>
      <c r="R6" s="44">
        <f>D16+D32+D48+D64+D80+D96+D112+D128+D144+D160+D176+D192+D208+D224+D240+D256+D272+D288+D304+D320+D336+D352+D368+D384+D400+D416+D432+D448+D464+D480</f>
        <v>0</v>
      </c>
      <c r="S6" s="147" t="s">
        <v>8</v>
      </c>
      <c r="T6" s="45">
        <f>R6*60</f>
        <v>0</v>
      </c>
      <c r="U6" s="40"/>
    </row>
    <row r="7" spans="2:21" ht="16.149999999999999" thickTop="1" thickBot="1">
      <c r="B7" s="115"/>
      <c r="C7" s="115"/>
      <c r="D7" s="115"/>
      <c r="E7" s="115"/>
      <c r="F7" s="115"/>
      <c r="G7" s="115"/>
      <c r="H7" s="115"/>
      <c r="I7" s="115"/>
      <c r="J7" s="115"/>
      <c r="K7" s="115"/>
      <c r="M7" s="39"/>
      <c r="N7" s="96"/>
      <c r="O7" s="40"/>
      <c r="Q7" s="39"/>
      <c r="R7" s="42" t="s">
        <v>9</v>
      </c>
      <c r="S7" s="148"/>
      <c r="T7" s="46" t="s">
        <v>10</v>
      </c>
      <c r="U7" s="40"/>
    </row>
    <row r="8" spans="2:21" ht="15.75" thickTop="1">
      <c r="B8" s="128" t="s">
        <v>11</v>
      </c>
      <c r="C8" s="129"/>
      <c r="D8" s="47" t="s">
        <v>12</v>
      </c>
      <c r="E8" s="88"/>
      <c r="F8" s="130" t="s">
        <v>13</v>
      </c>
      <c r="G8" s="131"/>
      <c r="H8" s="131"/>
      <c r="I8" s="131"/>
      <c r="J8" s="131"/>
      <c r="K8" s="132"/>
      <c r="M8" s="39"/>
      <c r="N8" s="90" t="s">
        <v>14</v>
      </c>
      <c r="O8" s="98"/>
      <c r="Q8" s="39"/>
      <c r="R8" s="48"/>
      <c r="S8" s="48"/>
      <c r="T8" s="48"/>
      <c r="U8" s="40"/>
    </row>
    <row r="9" spans="2:21" ht="15.75" customHeight="1" thickBot="1">
      <c r="B9" s="133" t="s">
        <v>15</v>
      </c>
      <c r="C9" s="134"/>
      <c r="D9" s="49" t="s">
        <v>16</v>
      </c>
      <c r="E9" s="88"/>
      <c r="F9" s="50" t="s">
        <v>14</v>
      </c>
      <c r="G9" s="51" t="s">
        <v>17</v>
      </c>
      <c r="H9" s="51" t="s">
        <v>18</v>
      </c>
      <c r="I9" s="51" t="s">
        <v>19</v>
      </c>
      <c r="J9" s="52" t="s">
        <v>20</v>
      </c>
      <c r="K9" s="53" t="s">
        <v>19</v>
      </c>
      <c r="L9" s="89"/>
      <c r="M9" s="39"/>
      <c r="N9" s="95"/>
      <c r="O9" s="99"/>
      <c r="Q9" s="39"/>
      <c r="R9" s="149" t="s">
        <v>21</v>
      </c>
      <c r="S9" s="150"/>
      <c r="T9" s="151"/>
      <c r="U9" s="54"/>
    </row>
    <row r="10" spans="2:21">
      <c r="B10" s="122"/>
      <c r="C10" s="123"/>
      <c r="D10" s="55">
        <f>IF(D14&lt;380, 1.1*D14, D14)</f>
        <v>0</v>
      </c>
      <c r="E10" s="88"/>
      <c r="F10" s="56" t="s">
        <v>22</v>
      </c>
      <c r="G10" s="91">
        <f>N9*0.998</f>
        <v>0</v>
      </c>
      <c r="H10" s="56" t="s">
        <v>23</v>
      </c>
      <c r="I10" s="91">
        <f>N11*1.002</f>
        <v>0</v>
      </c>
      <c r="J10" s="57" t="s">
        <v>24</v>
      </c>
      <c r="K10" s="92">
        <f>N13*1.001</f>
        <v>0</v>
      </c>
      <c r="M10" s="39"/>
      <c r="N10" s="90" t="s">
        <v>18</v>
      </c>
      <c r="O10" s="98"/>
      <c r="Q10" s="39"/>
      <c r="R10" s="31"/>
      <c r="S10" s="145" t="s">
        <v>8</v>
      </c>
      <c r="T10" s="58">
        <f>R10*60</f>
        <v>0</v>
      </c>
      <c r="U10" s="40"/>
    </row>
    <row r="11" spans="2:21" ht="15.75" thickBot="1">
      <c r="B11" s="124"/>
      <c r="C11" s="125"/>
      <c r="D11" s="55">
        <f>IF(D14&lt;380, 0.75*D14, D14)</f>
        <v>0</v>
      </c>
      <c r="E11" s="88"/>
      <c r="F11" s="56" t="s">
        <v>25</v>
      </c>
      <c r="G11" s="91">
        <f>N9*1.003</f>
        <v>0</v>
      </c>
      <c r="H11" s="56" t="s">
        <v>26</v>
      </c>
      <c r="I11" s="91">
        <f>N11*0.999</f>
        <v>0</v>
      </c>
      <c r="J11" s="57" t="s">
        <v>27</v>
      </c>
      <c r="K11" s="92">
        <f>N13*0.995</f>
        <v>0</v>
      </c>
      <c r="M11" s="39"/>
      <c r="N11" s="95"/>
      <c r="O11" s="99"/>
      <c r="Q11" s="39"/>
      <c r="R11" s="59" t="s">
        <v>9</v>
      </c>
      <c r="S11" s="146"/>
      <c r="T11" s="42" t="s">
        <v>10</v>
      </c>
      <c r="U11" s="40"/>
    </row>
    <row r="12" spans="2:21">
      <c r="B12" s="124"/>
      <c r="C12" s="125"/>
      <c r="D12" s="55">
        <f>IF(D14&lt;380, 1.15*D14, D14)</f>
        <v>0</v>
      </c>
      <c r="E12" s="88"/>
      <c r="F12" s="56" t="s">
        <v>28</v>
      </c>
      <c r="G12" s="91">
        <f>N9*0.996</f>
        <v>0</v>
      </c>
      <c r="H12" s="56" t="s">
        <v>29</v>
      </c>
      <c r="I12" s="91">
        <f>N11*1.004</f>
        <v>0</v>
      </c>
      <c r="J12" s="57" t="s">
        <v>30</v>
      </c>
      <c r="K12" s="92">
        <f>N13*0.997</f>
        <v>0</v>
      </c>
      <c r="M12" s="39"/>
      <c r="N12" s="90" t="s">
        <v>20</v>
      </c>
      <c r="O12" s="98"/>
      <c r="Q12" s="39"/>
      <c r="R12" s="48"/>
      <c r="S12" s="48"/>
      <c r="T12" s="48"/>
      <c r="U12" s="40"/>
    </row>
    <row r="13" spans="2:21" ht="15.75" thickBot="1">
      <c r="B13" s="124"/>
      <c r="C13" s="125"/>
      <c r="D13" s="49" t="s">
        <v>31</v>
      </c>
      <c r="E13" s="60"/>
      <c r="F13" s="61" t="s">
        <v>32</v>
      </c>
      <c r="G13" s="62">
        <f>10*LOG10((1/3)*(10^(0.1*G10)+10^(0.1*G11)+10^(0.1*G12)))</f>
        <v>0</v>
      </c>
      <c r="H13" s="61" t="s">
        <v>33</v>
      </c>
      <c r="I13" s="62">
        <f>10*LOG10((1/3)*(10^(0.1*I10)+10^(0.1*I11)+10^(0.1*I12)))</f>
        <v>0</v>
      </c>
      <c r="J13" s="63" t="s">
        <v>34</v>
      </c>
      <c r="K13" s="64">
        <f>(K10+K11+K12)/3</f>
        <v>0</v>
      </c>
      <c r="M13" s="39"/>
      <c r="N13" s="95"/>
      <c r="O13" s="99"/>
      <c r="Q13" s="39"/>
      <c r="R13" s="149" t="s">
        <v>35</v>
      </c>
      <c r="S13" s="150"/>
      <c r="T13" s="151"/>
      <c r="U13" s="40"/>
    </row>
    <row r="14" spans="2:21" ht="15.75">
      <c r="B14" s="124"/>
      <c r="C14" s="125"/>
      <c r="D14" s="25"/>
      <c r="E14" s="60"/>
      <c r="F14" s="65"/>
      <c r="G14" s="66"/>
      <c r="H14" s="65"/>
      <c r="I14" s="66"/>
      <c r="J14" s="65"/>
      <c r="K14" s="66"/>
      <c r="M14" s="39"/>
      <c r="N14" s="96"/>
      <c r="O14" s="40"/>
      <c r="Q14" s="39"/>
      <c r="R14" s="31"/>
      <c r="S14" s="145" t="s">
        <v>8</v>
      </c>
      <c r="T14" s="58">
        <f>R14/60</f>
        <v>0</v>
      </c>
      <c r="U14" s="40"/>
    </row>
    <row r="15" spans="2:21">
      <c r="B15" s="124"/>
      <c r="C15" s="125"/>
      <c r="D15" s="67" t="s">
        <v>36</v>
      </c>
      <c r="E15" s="60"/>
      <c r="F15" s="65"/>
      <c r="G15" s="66"/>
      <c r="H15" s="65"/>
      <c r="I15" s="66"/>
      <c r="J15" s="65"/>
      <c r="K15" s="66"/>
      <c r="M15" s="39"/>
      <c r="N15" s="96"/>
      <c r="O15" s="40"/>
      <c r="Q15" s="39"/>
      <c r="R15" s="59" t="s">
        <v>10</v>
      </c>
      <c r="S15" s="146"/>
      <c r="T15" s="42" t="s">
        <v>9</v>
      </c>
      <c r="U15" s="40"/>
    </row>
    <row r="16" spans="2:21" ht="15.75" thickBot="1">
      <c r="B16" s="126"/>
      <c r="C16" s="127"/>
      <c r="D16" s="68">
        <f>D14/60</f>
        <v>0</v>
      </c>
      <c r="E16" s="60"/>
      <c r="F16" s="69"/>
      <c r="G16" s="70"/>
      <c r="H16" s="70"/>
      <c r="I16" s="70"/>
      <c r="J16" s="71"/>
      <c r="K16" s="71"/>
      <c r="M16" s="39"/>
      <c r="N16" s="96"/>
      <c r="O16" s="40"/>
      <c r="Q16" s="39"/>
      <c r="R16" s="48"/>
      <c r="S16" s="48"/>
      <c r="T16" s="48"/>
      <c r="U16" s="40"/>
    </row>
    <row r="17" spans="2:22" ht="15.75" thickTop="1">
      <c r="E17" s="60"/>
      <c r="F17" s="72"/>
      <c r="G17" s="66"/>
      <c r="H17" s="66"/>
      <c r="I17" s="66"/>
      <c r="J17" s="71"/>
      <c r="K17" s="71"/>
      <c r="M17" s="39"/>
      <c r="N17" s="96"/>
      <c r="O17" s="40"/>
      <c r="Q17" s="73"/>
      <c r="R17" s="74"/>
      <c r="S17" s="74"/>
      <c r="T17" s="74"/>
      <c r="U17" s="75"/>
    </row>
    <row r="18" spans="2:22" ht="15.75" thickBot="1">
      <c r="E18" s="60"/>
      <c r="M18" s="39"/>
      <c r="N18" s="96"/>
      <c r="O18" s="40"/>
    </row>
    <row r="19" spans="2:22" ht="27" thickTop="1" thickBot="1">
      <c r="B19" s="33" t="s">
        <v>37</v>
      </c>
      <c r="C19" s="34" t="s">
        <v>1</v>
      </c>
      <c r="D19" s="102"/>
      <c r="E19" s="103"/>
      <c r="F19" s="103"/>
      <c r="G19" s="103"/>
      <c r="H19" s="103"/>
      <c r="I19" s="103"/>
      <c r="J19" s="103"/>
      <c r="K19" s="104"/>
      <c r="M19" s="39"/>
      <c r="N19" s="96"/>
      <c r="O19" s="40"/>
    </row>
    <row r="20" spans="2:22" ht="17.100000000000001" customHeight="1" thickTop="1">
      <c r="B20" s="105" t="s">
        <v>2</v>
      </c>
      <c r="C20" s="38" t="s">
        <v>3</v>
      </c>
      <c r="D20" s="116" t="s">
        <v>4</v>
      </c>
      <c r="E20" s="117"/>
      <c r="F20" s="117"/>
      <c r="G20" s="117"/>
      <c r="H20" s="117"/>
      <c r="I20" s="117"/>
      <c r="J20" s="117"/>
      <c r="K20" s="118"/>
      <c r="M20" s="39"/>
      <c r="N20" s="96"/>
      <c r="O20" s="40"/>
    </row>
    <row r="21" spans="2:22" ht="16.149999999999999" customHeight="1">
      <c r="B21" s="106"/>
      <c r="C21" s="41" t="s">
        <v>5</v>
      </c>
      <c r="D21" s="119" t="s">
        <v>4</v>
      </c>
      <c r="E21" s="120"/>
      <c r="F21" s="120"/>
      <c r="G21" s="120"/>
      <c r="H21" s="120"/>
      <c r="I21" s="120"/>
      <c r="J21" s="120"/>
      <c r="K21" s="121"/>
      <c r="M21" s="39"/>
      <c r="N21" s="96"/>
      <c r="O21" s="40"/>
    </row>
    <row r="22" spans="2:22" ht="17.100000000000001" customHeight="1" thickBot="1">
      <c r="B22" s="107"/>
      <c r="C22" s="43" t="s">
        <v>7</v>
      </c>
      <c r="D22" s="112" t="s">
        <v>4</v>
      </c>
      <c r="E22" s="113"/>
      <c r="F22" s="113"/>
      <c r="G22" s="113"/>
      <c r="H22" s="113"/>
      <c r="I22" s="113"/>
      <c r="J22" s="113"/>
      <c r="K22" s="114"/>
      <c r="L22" s="76"/>
      <c r="M22" s="39"/>
      <c r="N22" s="96"/>
      <c r="O22" s="40"/>
    </row>
    <row r="23" spans="2:22" ht="16.149999999999999" thickTop="1" thickBot="1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76"/>
      <c r="M23" s="39"/>
      <c r="N23" s="96"/>
      <c r="O23" s="40"/>
    </row>
    <row r="24" spans="2:22" ht="15.75" thickTop="1">
      <c r="B24" s="128" t="s">
        <v>11</v>
      </c>
      <c r="C24" s="129"/>
      <c r="D24" s="47" t="s">
        <v>12</v>
      </c>
      <c r="E24" s="88"/>
      <c r="F24" s="130" t="s">
        <v>13</v>
      </c>
      <c r="G24" s="131"/>
      <c r="H24" s="131"/>
      <c r="I24" s="131"/>
      <c r="J24" s="131"/>
      <c r="K24" s="132"/>
      <c r="L24" s="76"/>
      <c r="M24" s="39"/>
      <c r="N24" s="90" t="s">
        <v>14</v>
      </c>
      <c r="O24" s="98"/>
    </row>
    <row r="25" spans="2:22" ht="15.75" thickBot="1">
      <c r="B25" s="133" t="s">
        <v>15</v>
      </c>
      <c r="C25" s="134"/>
      <c r="D25" s="49" t="s">
        <v>16</v>
      </c>
      <c r="E25" s="88"/>
      <c r="F25" s="50" t="s">
        <v>14</v>
      </c>
      <c r="G25" s="51" t="s">
        <v>17</v>
      </c>
      <c r="H25" s="51" t="s">
        <v>18</v>
      </c>
      <c r="I25" s="51" t="s">
        <v>19</v>
      </c>
      <c r="J25" s="52" t="s">
        <v>20</v>
      </c>
      <c r="K25" s="77" t="s">
        <v>19</v>
      </c>
      <c r="M25" s="39"/>
      <c r="N25" s="95"/>
      <c r="O25" s="99"/>
    </row>
    <row r="26" spans="2:22">
      <c r="B26" s="135">
        <f>B10</f>
        <v>0</v>
      </c>
      <c r="C26" s="136"/>
      <c r="D26" s="55">
        <f>IF(D30&lt;380, 0.9*D30, D30)</f>
        <v>0</v>
      </c>
      <c r="E26" s="88"/>
      <c r="F26" s="56" t="s">
        <v>22</v>
      </c>
      <c r="G26" s="91">
        <f>N25*0.997</f>
        <v>0</v>
      </c>
      <c r="H26" s="56" t="s">
        <v>23</v>
      </c>
      <c r="I26" s="91">
        <f>N27*1.003</f>
        <v>0</v>
      </c>
      <c r="J26" s="57" t="s">
        <v>24</v>
      </c>
      <c r="K26" s="93">
        <f>N29*0.998</f>
        <v>0</v>
      </c>
      <c r="M26" s="39"/>
      <c r="N26" s="90" t="s">
        <v>18</v>
      </c>
      <c r="O26" s="98"/>
    </row>
    <row r="27" spans="2:22" ht="15.75" thickBot="1">
      <c r="B27" s="137"/>
      <c r="C27" s="138"/>
      <c r="D27" s="55">
        <f>IF(D30&lt;380, 1.25*D30, D30)</f>
        <v>0</v>
      </c>
      <c r="E27" s="88"/>
      <c r="F27" s="56" t="s">
        <v>25</v>
      </c>
      <c r="G27" s="91">
        <f>N25*0.999</f>
        <v>0</v>
      </c>
      <c r="H27" s="56" t="s">
        <v>26</v>
      </c>
      <c r="I27" s="91">
        <f>N27*0.995</f>
        <v>0</v>
      </c>
      <c r="J27" s="57" t="s">
        <v>27</v>
      </c>
      <c r="K27" s="93">
        <f>N29*1.002</f>
        <v>0</v>
      </c>
      <c r="M27" s="39"/>
      <c r="N27" s="95"/>
      <c r="O27" s="99"/>
    </row>
    <row r="28" spans="2:22">
      <c r="B28" s="137"/>
      <c r="C28" s="138"/>
      <c r="D28" s="55">
        <f>IF(D30&lt;380, 0.85*D30, D30)</f>
        <v>0</v>
      </c>
      <c r="E28" s="88"/>
      <c r="F28" s="56" t="s">
        <v>28</v>
      </c>
      <c r="G28" s="91">
        <f>N25*1.002</f>
        <v>0</v>
      </c>
      <c r="H28" s="56" t="s">
        <v>29</v>
      </c>
      <c r="I28" s="91">
        <f>N27*1.001</f>
        <v>0</v>
      </c>
      <c r="J28" s="57" t="s">
        <v>30</v>
      </c>
      <c r="K28" s="93">
        <f>N29*0.999</f>
        <v>0</v>
      </c>
      <c r="M28" s="39"/>
      <c r="N28" s="90" t="s">
        <v>20</v>
      </c>
      <c r="O28" s="98"/>
    </row>
    <row r="29" spans="2:22" ht="15.75" thickBot="1">
      <c r="B29" s="137"/>
      <c r="C29" s="138"/>
      <c r="D29" s="49" t="s">
        <v>31</v>
      </c>
      <c r="E29" s="60"/>
      <c r="F29" s="61" t="s">
        <v>32</v>
      </c>
      <c r="G29" s="62">
        <f>10*LOG10((1/3)*(10^(0.1*G26)+10^(0.1*G27)+10^(0.1*G28)))</f>
        <v>0</v>
      </c>
      <c r="H29" s="61" t="s">
        <v>33</v>
      </c>
      <c r="I29" s="62">
        <f>10*LOG10((1/3)*(10^(0.1*I26)+10^(0.1*I27)+10^(0.1*I28)))</f>
        <v>0</v>
      </c>
      <c r="J29" s="63" t="s">
        <v>34</v>
      </c>
      <c r="K29" s="78">
        <f>(K26+K27+K28)/3</f>
        <v>0</v>
      </c>
      <c r="M29" s="39"/>
      <c r="N29" s="95"/>
      <c r="O29" s="99"/>
    </row>
    <row r="30" spans="2:22" ht="15.75" thickTop="1">
      <c r="B30" s="137"/>
      <c r="C30" s="138"/>
      <c r="D30" s="26"/>
      <c r="E30" s="60"/>
      <c r="M30" s="39"/>
      <c r="N30" s="96"/>
      <c r="O30" s="40"/>
    </row>
    <row r="31" spans="2:22">
      <c r="B31" s="137"/>
      <c r="C31" s="138"/>
      <c r="D31" s="49" t="s">
        <v>36</v>
      </c>
      <c r="E31" s="60"/>
      <c r="M31" s="39"/>
      <c r="N31" s="96"/>
      <c r="O31" s="40"/>
      <c r="V31" s="101"/>
    </row>
    <row r="32" spans="2:22" ht="15.75" thickBot="1">
      <c r="B32" s="139"/>
      <c r="C32" s="140"/>
      <c r="D32" s="68">
        <f>D30/60</f>
        <v>0</v>
      </c>
      <c r="E32" s="60"/>
      <c r="F32" s="69"/>
      <c r="G32" s="70"/>
      <c r="H32" s="70"/>
      <c r="I32" s="70"/>
      <c r="J32" s="71"/>
      <c r="K32" s="71"/>
      <c r="M32" s="39"/>
      <c r="N32" s="96"/>
      <c r="O32" s="40"/>
    </row>
    <row r="33" spans="2:25" ht="15.75" thickTop="1">
      <c r="M33" s="39"/>
      <c r="N33" s="96"/>
      <c r="O33" s="40"/>
      <c r="Y33" s="101"/>
    </row>
    <row r="34" spans="2:25" ht="15.75" thickBot="1">
      <c r="M34" s="39"/>
      <c r="N34" s="96"/>
      <c r="O34" s="40"/>
    </row>
    <row r="35" spans="2:25" ht="27" thickTop="1" thickBot="1">
      <c r="B35" s="33" t="s">
        <v>38</v>
      </c>
      <c r="C35" s="34" t="s">
        <v>1</v>
      </c>
      <c r="D35" s="102"/>
      <c r="E35" s="103"/>
      <c r="F35" s="103"/>
      <c r="G35" s="103"/>
      <c r="H35" s="103"/>
      <c r="I35" s="103"/>
      <c r="J35" s="103"/>
      <c r="K35" s="104"/>
      <c r="M35" s="39"/>
      <c r="N35" s="96"/>
      <c r="O35" s="40"/>
    </row>
    <row r="36" spans="2:25" ht="17.100000000000001" customHeight="1" thickTop="1">
      <c r="B36" s="105" t="s">
        <v>2</v>
      </c>
      <c r="C36" s="38" t="s">
        <v>3</v>
      </c>
      <c r="D36" s="116" t="s">
        <v>4</v>
      </c>
      <c r="E36" s="117"/>
      <c r="F36" s="117"/>
      <c r="G36" s="117"/>
      <c r="H36" s="117"/>
      <c r="I36" s="117"/>
      <c r="J36" s="117"/>
      <c r="K36" s="118"/>
      <c r="M36" s="39"/>
      <c r="N36" s="96"/>
      <c r="O36" s="40"/>
    </row>
    <row r="37" spans="2:25" ht="16.149999999999999" customHeight="1">
      <c r="B37" s="106"/>
      <c r="C37" s="41" t="s">
        <v>5</v>
      </c>
      <c r="D37" s="119" t="s">
        <v>4</v>
      </c>
      <c r="E37" s="120"/>
      <c r="F37" s="120"/>
      <c r="G37" s="120"/>
      <c r="H37" s="120"/>
      <c r="I37" s="120"/>
      <c r="J37" s="120"/>
      <c r="K37" s="121"/>
      <c r="M37" s="39"/>
      <c r="N37" s="96"/>
      <c r="O37" s="40"/>
    </row>
    <row r="38" spans="2:25" ht="17.100000000000001" customHeight="1" thickBot="1">
      <c r="B38" s="107"/>
      <c r="C38" s="43" t="s">
        <v>7</v>
      </c>
      <c r="D38" s="112" t="s">
        <v>4</v>
      </c>
      <c r="E38" s="113"/>
      <c r="F38" s="113"/>
      <c r="G38" s="113"/>
      <c r="H38" s="113"/>
      <c r="I38" s="113"/>
      <c r="J38" s="113"/>
      <c r="K38" s="114"/>
      <c r="L38" s="76"/>
      <c r="M38" s="39"/>
      <c r="N38" s="96"/>
      <c r="O38" s="40"/>
    </row>
    <row r="39" spans="2:25" ht="16.149999999999999" thickTop="1" thickBot="1"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76"/>
      <c r="M39" s="39"/>
      <c r="N39" s="96"/>
      <c r="O39" s="40"/>
    </row>
    <row r="40" spans="2:25" ht="15.75" thickTop="1">
      <c r="B40" s="128" t="s">
        <v>11</v>
      </c>
      <c r="C40" s="129"/>
      <c r="D40" s="47" t="s">
        <v>12</v>
      </c>
      <c r="E40" s="88"/>
      <c r="F40" s="130" t="s">
        <v>13</v>
      </c>
      <c r="G40" s="131"/>
      <c r="H40" s="131"/>
      <c r="I40" s="131"/>
      <c r="J40" s="131"/>
      <c r="K40" s="132"/>
      <c r="L40" s="76"/>
      <c r="M40" s="39"/>
      <c r="N40" s="90" t="s">
        <v>14</v>
      </c>
      <c r="O40" s="98"/>
    </row>
    <row r="41" spans="2:25" ht="15.75" thickBot="1">
      <c r="B41" s="133" t="s">
        <v>15</v>
      </c>
      <c r="C41" s="134"/>
      <c r="D41" s="49" t="s">
        <v>16</v>
      </c>
      <c r="E41" s="88"/>
      <c r="F41" s="50" t="s">
        <v>14</v>
      </c>
      <c r="G41" s="52" t="s">
        <v>17</v>
      </c>
      <c r="H41" s="51" t="s">
        <v>18</v>
      </c>
      <c r="I41" s="51" t="s">
        <v>19</v>
      </c>
      <c r="J41" s="52" t="s">
        <v>20</v>
      </c>
      <c r="K41" s="77" t="s">
        <v>19</v>
      </c>
      <c r="M41" s="39"/>
      <c r="N41" s="95"/>
      <c r="O41" s="99"/>
    </row>
    <row r="42" spans="2:25">
      <c r="B42" s="135">
        <f>B26</f>
        <v>0</v>
      </c>
      <c r="C42" s="136"/>
      <c r="D42" s="55">
        <f>IF(D46&lt;380, 0.8*D46, D46)</f>
        <v>0</v>
      </c>
      <c r="E42" s="88"/>
      <c r="F42" s="56" t="s">
        <v>22</v>
      </c>
      <c r="G42" s="94">
        <f>N41*1.004</f>
        <v>0</v>
      </c>
      <c r="H42" s="56" t="s">
        <v>23</v>
      </c>
      <c r="I42" s="91">
        <f>N43*0.997</f>
        <v>0</v>
      </c>
      <c r="J42" s="57" t="s">
        <v>24</v>
      </c>
      <c r="K42" s="93">
        <f>N45*0.996</f>
        <v>0</v>
      </c>
      <c r="M42" s="39"/>
      <c r="N42" s="90" t="s">
        <v>18</v>
      </c>
      <c r="O42" s="98"/>
    </row>
    <row r="43" spans="2:25" ht="15.75" thickBot="1">
      <c r="B43" s="137"/>
      <c r="C43" s="138"/>
      <c r="D43" s="55">
        <f>IF(D46&lt;380, 1.05*D46, D46)</f>
        <v>0</v>
      </c>
      <c r="E43" s="88"/>
      <c r="F43" s="56" t="s">
        <v>25</v>
      </c>
      <c r="G43" s="94">
        <f>N41*0.998</f>
        <v>0</v>
      </c>
      <c r="H43" s="56" t="s">
        <v>26</v>
      </c>
      <c r="I43" s="91">
        <f>N43*0.999</f>
        <v>0</v>
      </c>
      <c r="J43" s="57" t="s">
        <v>27</v>
      </c>
      <c r="K43" s="93">
        <f>N45*1.003</f>
        <v>0</v>
      </c>
      <c r="M43" s="39"/>
      <c r="N43" s="95"/>
      <c r="O43" s="99"/>
    </row>
    <row r="44" spans="2:25">
      <c r="B44" s="137"/>
      <c r="C44" s="138"/>
      <c r="D44" s="55">
        <f>IF(D46&lt;380, 1.15*D46, D46)</f>
        <v>0</v>
      </c>
      <c r="E44" s="88"/>
      <c r="F44" s="56" t="s">
        <v>28</v>
      </c>
      <c r="G44" s="94">
        <f>N41*1.002</f>
        <v>0</v>
      </c>
      <c r="H44" s="56" t="s">
        <v>29</v>
      </c>
      <c r="I44" s="91">
        <f>N43*1.003</f>
        <v>0</v>
      </c>
      <c r="J44" s="57" t="s">
        <v>30</v>
      </c>
      <c r="K44" s="93">
        <f>N45*1.001</f>
        <v>0</v>
      </c>
      <c r="M44" s="39"/>
      <c r="N44" s="90" t="s">
        <v>20</v>
      </c>
      <c r="O44" s="98"/>
    </row>
    <row r="45" spans="2:25" ht="15.75" thickBot="1">
      <c r="B45" s="137"/>
      <c r="C45" s="138"/>
      <c r="D45" s="49" t="s">
        <v>31</v>
      </c>
      <c r="E45" s="60"/>
      <c r="F45" s="61" t="s">
        <v>32</v>
      </c>
      <c r="G45" s="79">
        <f>10*LOG10((1/3)*(10^(0.1*G42)+10^(0.1*G43)+10^(0.1*G44)))</f>
        <v>0</v>
      </c>
      <c r="H45" s="61" t="s">
        <v>33</v>
      </c>
      <c r="I45" s="79">
        <f>10*LOG10((1/3)*(10^(0.1*I42)+10^(0.1*I43)+10^(0.1*I44)))</f>
        <v>0</v>
      </c>
      <c r="J45" s="63" t="s">
        <v>34</v>
      </c>
      <c r="K45" s="78">
        <f>(K42+K43+K44)/3</f>
        <v>0</v>
      </c>
      <c r="M45" s="39"/>
      <c r="N45" s="95"/>
      <c r="O45" s="99"/>
    </row>
    <row r="46" spans="2:25" ht="15.75" thickTop="1">
      <c r="B46" s="137"/>
      <c r="C46" s="138"/>
      <c r="D46" s="25"/>
      <c r="E46" s="60"/>
      <c r="F46" s="65"/>
      <c r="G46" s="66"/>
      <c r="H46" s="65"/>
      <c r="I46" s="66"/>
      <c r="J46" s="65"/>
      <c r="K46" s="66"/>
      <c r="M46" s="39"/>
      <c r="N46" s="96"/>
      <c r="O46" s="40"/>
    </row>
    <row r="47" spans="2:25">
      <c r="B47" s="137"/>
      <c r="C47" s="138"/>
      <c r="D47" s="49" t="s">
        <v>36</v>
      </c>
      <c r="E47" s="60"/>
      <c r="F47" s="65"/>
      <c r="G47" s="66"/>
      <c r="H47" s="65"/>
      <c r="I47" s="66"/>
      <c r="J47" s="65"/>
      <c r="K47" s="66"/>
      <c r="M47" s="39"/>
      <c r="N47" s="96"/>
      <c r="O47" s="40"/>
    </row>
    <row r="48" spans="2:25" ht="15.75" thickBot="1">
      <c r="B48" s="139"/>
      <c r="C48" s="140"/>
      <c r="D48" s="80">
        <f>D46/60</f>
        <v>0</v>
      </c>
      <c r="E48" s="60"/>
      <c r="F48" s="69"/>
      <c r="G48" s="70"/>
      <c r="H48" s="70"/>
      <c r="I48" s="70"/>
      <c r="J48" s="71"/>
      <c r="K48" s="71"/>
      <c r="M48" s="39"/>
      <c r="N48" s="96"/>
      <c r="O48" s="40"/>
    </row>
    <row r="49" spans="2:15" ht="15.75" thickTop="1">
      <c r="M49" s="39"/>
      <c r="N49" s="96"/>
      <c r="O49" s="40"/>
    </row>
    <row r="50" spans="2:15" ht="15.75" thickBot="1">
      <c r="M50" s="39"/>
      <c r="N50" s="96"/>
      <c r="O50" s="40"/>
    </row>
    <row r="51" spans="2:15" ht="27" thickTop="1" thickBot="1">
      <c r="B51" s="33" t="s">
        <v>39</v>
      </c>
      <c r="C51" s="34" t="s">
        <v>1</v>
      </c>
      <c r="D51" s="102"/>
      <c r="E51" s="103"/>
      <c r="F51" s="103"/>
      <c r="G51" s="103"/>
      <c r="H51" s="103"/>
      <c r="I51" s="103"/>
      <c r="J51" s="103"/>
      <c r="K51" s="104"/>
      <c r="M51" s="39"/>
      <c r="N51" s="96"/>
      <c r="O51" s="40"/>
    </row>
    <row r="52" spans="2:15" ht="17.100000000000001" customHeight="1" thickTop="1">
      <c r="B52" s="105" t="s">
        <v>2</v>
      </c>
      <c r="C52" s="38" t="s">
        <v>3</v>
      </c>
      <c r="D52" s="116" t="s">
        <v>4</v>
      </c>
      <c r="E52" s="117"/>
      <c r="F52" s="117"/>
      <c r="G52" s="117"/>
      <c r="H52" s="117"/>
      <c r="I52" s="117"/>
      <c r="J52" s="117"/>
      <c r="K52" s="118"/>
      <c r="M52" s="39"/>
      <c r="N52" s="96"/>
      <c r="O52" s="40"/>
    </row>
    <row r="53" spans="2:15" ht="16.149999999999999" customHeight="1">
      <c r="B53" s="106"/>
      <c r="C53" s="41" t="s">
        <v>5</v>
      </c>
      <c r="D53" s="119" t="s">
        <v>4</v>
      </c>
      <c r="E53" s="120"/>
      <c r="F53" s="120"/>
      <c r="G53" s="120"/>
      <c r="H53" s="120"/>
      <c r="I53" s="120"/>
      <c r="J53" s="120"/>
      <c r="K53" s="121"/>
      <c r="M53" s="39"/>
      <c r="N53" s="96"/>
      <c r="O53" s="40"/>
    </row>
    <row r="54" spans="2:15" ht="17.100000000000001" customHeight="1" thickBot="1">
      <c r="B54" s="107"/>
      <c r="C54" s="43" t="s">
        <v>7</v>
      </c>
      <c r="D54" s="112" t="s">
        <v>4</v>
      </c>
      <c r="E54" s="113"/>
      <c r="F54" s="113"/>
      <c r="G54" s="113"/>
      <c r="H54" s="113"/>
      <c r="I54" s="113"/>
      <c r="J54" s="113"/>
      <c r="K54" s="114"/>
      <c r="M54" s="39"/>
      <c r="N54" s="96"/>
      <c r="O54" s="40"/>
    </row>
    <row r="55" spans="2:15" ht="16.149999999999999" thickTop="1" thickBot="1"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M55" s="39"/>
      <c r="N55" s="96"/>
      <c r="O55" s="40"/>
    </row>
    <row r="56" spans="2:15" ht="15.75" thickTop="1">
      <c r="B56" s="128" t="s">
        <v>11</v>
      </c>
      <c r="C56" s="129"/>
      <c r="D56" s="47" t="s">
        <v>12</v>
      </c>
      <c r="E56" s="88"/>
      <c r="F56" s="130" t="s">
        <v>13</v>
      </c>
      <c r="G56" s="131"/>
      <c r="H56" s="131"/>
      <c r="I56" s="131"/>
      <c r="J56" s="131"/>
      <c r="K56" s="132"/>
      <c r="M56" s="39"/>
      <c r="N56" s="90" t="s">
        <v>14</v>
      </c>
      <c r="O56" s="98"/>
    </row>
    <row r="57" spans="2:15" ht="15.75" thickBot="1">
      <c r="B57" s="133" t="s">
        <v>15</v>
      </c>
      <c r="C57" s="134"/>
      <c r="D57" s="49" t="s">
        <v>16</v>
      </c>
      <c r="E57" s="88"/>
      <c r="F57" s="50" t="s">
        <v>14</v>
      </c>
      <c r="G57" s="52" t="s">
        <v>17</v>
      </c>
      <c r="H57" s="51" t="s">
        <v>18</v>
      </c>
      <c r="I57" s="51" t="s">
        <v>19</v>
      </c>
      <c r="J57" s="52" t="s">
        <v>20</v>
      </c>
      <c r="K57" s="77" t="s">
        <v>19</v>
      </c>
      <c r="M57" s="39"/>
      <c r="N57" s="95"/>
      <c r="O57" s="99"/>
    </row>
    <row r="58" spans="2:15">
      <c r="B58" s="135">
        <f>B10</f>
        <v>0</v>
      </c>
      <c r="C58" s="136"/>
      <c r="D58" s="55">
        <f>IF(D62&lt;380, 1.15*D62, D62)</f>
        <v>0</v>
      </c>
      <c r="E58" s="88"/>
      <c r="F58" s="56" t="s">
        <v>22</v>
      </c>
      <c r="G58" s="94">
        <f>N57*1.005</f>
        <v>0</v>
      </c>
      <c r="H58" s="56" t="s">
        <v>23</v>
      </c>
      <c r="I58" s="91">
        <f>N59*0.996</f>
        <v>0</v>
      </c>
      <c r="J58" s="57" t="s">
        <v>24</v>
      </c>
      <c r="K58" s="93">
        <f>N61*0.997</f>
        <v>0</v>
      </c>
      <c r="M58" s="39"/>
      <c r="N58" s="90" t="s">
        <v>18</v>
      </c>
      <c r="O58" s="98"/>
    </row>
    <row r="59" spans="2:15" ht="15.75" thickBot="1">
      <c r="B59" s="137"/>
      <c r="C59" s="138"/>
      <c r="D59" s="55">
        <f>IF(D62&lt;380, 0.95*D62, D62)</f>
        <v>0</v>
      </c>
      <c r="E59" s="88"/>
      <c r="F59" s="56" t="s">
        <v>25</v>
      </c>
      <c r="G59" s="94">
        <f>N57*0.998</f>
        <v>0</v>
      </c>
      <c r="H59" s="56" t="s">
        <v>26</v>
      </c>
      <c r="I59" s="91">
        <f>N59*1.002</f>
        <v>0</v>
      </c>
      <c r="J59" s="57" t="s">
        <v>27</v>
      </c>
      <c r="K59" s="93">
        <f>N61*1.003</f>
        <v>0</v>
      </c>
      <c r="M59" s="39"/>
      <c r="N59" s="95"/>
      <c r="O59" s="99"/>
    </row>
    <row r="60" spans="2:15">
      <c r="B60" s="137"/>
      <c r="C60" s="138"/>
      <c r="D60" s="55">
        <f>IF(D62&lt;380, 0.9*D62, D62)</f>
        <v>0</v>
      </c>
      <c r="E60" s="88"/>
      <c r="F60" s="56" t="s">
        <v>28</v>
      </c>
      <c r="G60" s="94">
        <f>N57*1.003</f>
        <v>0</v>
      </c>
      <c r="H60" s="56" t="s">
        <v>29</v>
      </c>
      <c r="I60" s="91">
        <f>N59*1.004</f>
        <v>0</v>
      </c>
      <c r="J60" s="57" t="s">
        <v>30</v>
      </c>
      <c r="K60" s="93">
        <f>N61*0.999</f>
        <v>0</v>
      </c>
      <c r="M60" s="39"/>
      <c r="N60" s="90" t="s">
        <v>20</v>
      </c>
      <c r="O60" s="98"/>
    </row>
    <row r="61" spans="2:15" ht="15.75" thickBot="1">
      <c r="B61" s="137"/>
      <c r="C61" s="138"/>
      <c r="D61" s="49" t="s">
        <v>31</v>
      </c>
      <c r="E61" s="60"/>
      <c r="F61" s="61" t="s">
        <v>32</v>
      </c>
      <c r="G61" s="79">
        <f>10*LOG10((1/3)*(10^(0.1*G58)+10^(0.1*G59)+10^(0.1*G60)))</f>
        <v>0</v>
      </c>
      <c r="H61" s="61" t="s">
        <v>33</v>
      </c>
      <c r="I61" s="79">
        <f>10*LOG10((1/3)*(10^(0.1*I58)+10^(0.1*I59)+10^(0.1*I60)))</f>
        <v>0</v>
      </c>
      <c r="J61" s="63" t="s">
        <v>34</v>
      </c>
      <c r="K61" s="78">
        <f>(K58+K59+K60)/3</f>
        <v>0</v>
      </c>
      <c r="M61" s="39"/>
      <c r="N61" s="95"/>
      <c r="O61" s="99"/>
    </row>
    <row r="62" spans="2:15" ht="15.75" thickTop="1">
      <c r="B62" s="137"/>
      <c r="C62" s="138"/>
      <c r="D62" s="25"/>
      <c r="E62" s="60"/>
      <c r="F62" s="65"/>
      <c r="G62" s="66"/>
      <c r="H62" s="65"/>
      <c r="I62" s="66"/>
      <c r="J62" s="65"/>
      <c r="K62" s="66"/>
      <c r="M62" s="39"/>
      <c r="N62" s="96"/>
      <c r="O62" s="40"/>
    </row>
    <row r="63" spans="2:15">
      <c r="B63" s="137"/>
      <c r="C63" s="138"/>
      <c r="D63" s="49" t="s">
        <v>36</v>
      </c>
      <c r="E63" s="60"/>
      <c r="F63" s="65"/>
      <c r="G63" s="66"/>
      <c r="H63" s="65"/>
      <c r="I63" s="66"/>
      <c r="J63" s="65"/>
      <c r="K63" s="66"/>
      <c r="M63" s="39"/>
      <c r="N63" s="96"/>
      <c r="O63" s="40"/>
    </row>
    <row r="64" spans="2:15" ht="15.75" thickBot="1">
      <c r="B64" s="139"/>
      <c r="C64" s="140"/>
      <c r="D64" s="80">
        <f>D62/60</f>
        <v>0</v>
      </c>
      <c r="E64" s="60"/>
      <c r="F64" s="69"/>
      <c r="G64" s="70"/>
      <c r="H64" s="70"/>
      <c r="I64" s="70"/>
      <c r="J64" s="71"/>
      <c r="K64" s="71"/>
      <c r="M64" s="39"/>
      <c r="N64" s="96"/>
      <c r="O64" s="40"/>
    </row>
    <row r="65" spans="2:15" ht="15.75" thickTop="1">
      <c r="M65" s="39"/>
      <c r="N65" s="96"/>
      <c r="O65" s="40"/>
    </row>
    <row r="66" spans="2:15" ht="15.75" thickBot="1">
      <c r="M66" s="39"/>
      <c r="N66" s="96"/>
      <c r="O66" s="40"/>
    </row>
    <row r="67" spans="2:15" ht="27" thickTop="1" thickBot="1">
      <c r="B67" s="33" t="s">
        <v>40</v>
      </c>
      <c r="C67" s="34" t="s">
        <v>1</v>
      </c>
      <c r="D67" s="102"/>
      <c r="E67" s="103"/>
      <c r="F67" s="103"/>
      <c r="G67" s="103"/>
      <c r="H67" s="103"/>
      <c r="I67" s="103"/>
      <c r="J67" s="103"/>
      <c r="K67" s="104"/>
      <c r="M67" s="39"/>
      <c r="N67" s="96"/>
      <c r="O67" s="40"/>
    </row>
    <row r="68" spans="2:15" ht="17.100000000000001" customHeight="1" thickTop="1">
      <c r="B68" s="105" t="s">
        <v>2</v>
      </c>
      <c r="C68" s="38" t="s">
        <v>3</v>
      </c>
      <c r="D68" s="116" t="s">
        <v>4</v>
      </c>
      <c r="E68" s="117"/>
      <c r="F68" s="117"/>
      <c r="G68" s="117"/>
      <c r="H68" s="117"/>
      <c r="I68" s="117"/>
      <c r="J68" s="117"/>
      <c r="K68" s="118"/>
      <c r="M68" s="39"/>
      <c r="N68" s="96"/>
      <c r="O68" s="40"/>
    </row>
    <row r="69" spans="2:15" ht="16.149999999999999" customHeight="1">
      <c r="B69" s="106"/>
      <c r="C69" s="41" t="s">
        <v>5</v>
      </c>
      <c r="D69" s="119" t="s">
        <v>4</v>
      </c>
      <c r="E69" s="120"/>
      <c r="F69" s="120"/>
      <c r="G69" s="120"/>
      <c r="H69" s="120"/>
      <c r="I69" s="120"/>
      <c r="J69" s="120"/>
      <c r="K69" s="121"/>
      <c r="M69" s="39"/>
      <c r="N69" s="96"/>
      <c r="O69" s="40"/>
    </row>
    <row r="70" spans="2:15" ht="17.100000000000001" customHeight="1" thickBot="1">
      <c r="B70" s="107"/>
      <c r="C70" s="43" t="s">
        <v>7</v>
      </c>
      <c r="D70" s="112" t="s">
        <v>4</v>
      </c>
      <c r="E70" s="113"/>
      <c r="F70" s="113"/>
      <c r="G70" s="113"/>
      <c r="H70" s="113"/>
      <c r="I70" s="113"/>
      <c r="J70" s="113"/>
      <c r="K70" s="114"/>
      <c r="M70" s="39"/>
      <c r="N70" s="96"/>
      <c r="O70" s="40"/>
    </row>
    <row r="71" spans="2:15" ht="16.149999999999999" thickTop="1" thickBot="1"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M71" s="39"/>
      <c r="N71" s="96"/>
      <c r="O71" s="40"/>
    </row>
    <row r="72" spans="2:15" ht="15.75" thickTop="1">
      <c r="B72" s="128" t="s">
        <v>11</v>
      </c>
      <c r="C72" s="129"/>
      <c r="D72" s="47" t="s">
        <v>12</v>
      </c>
      <c r="E72" s="88"/>
      <c r="F72" s="130" t="s">
        <v>13</v>
      </c>
      <c r="G72" s="131"/>
      <c r="H72" s="131"/>
      <c r="I72" s="131"/>
      <c r="J72" s="131"/>
      <c r="K72" s="132"/>
      <c r="M72" s="39"/>
      <c r="N72" s="90" t="s">
        <v>14</v>
      </c>
      <c r="O72" s="98"/>
    </row>
    <row r="73" spans="2:15" ht="15.75" thickBot="1">
      <c r="B73" s="133" t="s">
        <v>15</v>
      </c>
      <c r="C73" s="134"/>
      <c r="D73" s="49" t="s">
        <v>16</v>
      </c>
      <c r="E73" s="88"/>
      <c r="F73" s="50" t="s">
        <v>14</v>
      </c>
      <c r="G73" s="52" t="s">
        <v>17</v>
      </c>
      <c r="H73" s="51" t="s">
        <v>18</v>
      </c>
      <c r="I73" s="51" t="s">
        <v>19</v>
      </c>
      <c r="J73" s="52" t="s">
        <v>20</v>
      </c>
      <c r="K73" s="77" t="s">
        <v>19</v>
      </c>
      <c r="M73" s="39"/>
      <c r="N73" s="95"/>
      <c r="O73" s="99"/>
    </row>
    <row r="74" spans="2:15">
      <c r="B74" s="135">
        <f>B26</f>
        <v>0</v>
      </c>
      <c r="C74" s="136"/>
      <c r="D74" s="55">
        <f>IF(D78&lt;380, 0.85*D78, D78)</f>
        <v>0</v>
      </c>
      <c r="E74" s="88"/>
      <c r="F74" s="56" t="s">
        <v>22</v>
      </c>
      <c r="G74" s="94">
        <f>N73*1.002</f>
        <v>0</v>
      </c>
      <c r="H74" s="56" t="s">
        <v>23</v>
      </c>
      <c r="I74" s="91">
        <f>N75*1.005</f>
        <v>0</v>
      </c>
      <c r="J74" s="57" t="s">
        <v>24</v>
      </c>
      <c r="K74" s="93">
        <f>N77*1.001</f>
        <v>0</v>
      </c>
      <c r="M74" s="39"/>
      <c r="N74" s="90" t="s">
        <v>18</v>
      </c>
      <c r="O74" s="98"/>
    </row>
    <row r="75" spans="2:15" ht="15.75" thickBot="1">
      <c r="B75" s="137"/>
      <c r="C75" s="138"/>
      <c r="D75" s="55">
        <f>IF(D78&lt;380, 1.2*D78, D78)</f>
        <v>0</v>
      </c>
      <c r="E75" s="88"/>
      <c r="F75" s="56" t="s">
        <v>25</v>
      </c>
      <c r="G75" s="94">
        <f>N73*0.997</f>
        <v>0</v>
      </c>
      <c r="H75" s="56" t="s">
        <v>26</v>
      </c>
      <c r="I75" s="91">
        <f>N75*1.003</f>
        <v>0</v>
      </c>
      <c r="J75" s="57" t="s">
        <v>27</v>
      </c>
      <c r="K75" s="93">
        <f>N77*0.996</f>
        <v>0</v>
      </c>
      <c r="M75" s="39"/>
      <c r="N75" s="95"/>
      <c r="O75" s="99"/>
    </row>
    <row r="76" spans="2:15">
      <c r="B76" s="137"/>
      <c r="C76" s="138"/>
      <c r="D76" s="55">
        <f>IF(D78&lt;380, 0.95*D78, D78)</f>
        <v>0</v>
      </c>
      <c r="E76" s="88"/>
      <c r="F76" s="56" t="s">
        <v>28</v>
      </c>
      <c r="G76" s="94">
        <f>N73*1.004</f>
        <v>0</v>
      </c>
      <c r="H76" s="56" t="s">
        <v>29</v>
      </c>
      <c r="I76" s="91">
        <f>N75*0.998</f>
        <v>0</v>
      </c>
      <c r="J76" s="57" t="s">
        <v>30</v>
      </c>
      <c r="K76" s="93">
        <f>N77*1.003</f>
        <v>0</v>
      </c>
      <c r="M76" s="39"/>
      <c r="N76" s="90" t="s">
        <v>20</v>
      </c>
      <c r="O76" s="98"/>
    </row>
    <row r="77" spans="2:15" ht="15.75" thickBot="1">
      <c r="B77" s="137"/>
      <c r="C77" s="138"/>
      <c r="D77" s="49" t="s">
        <v>31</v>
      </c>
      <c r="E77" s="60"/>
      <c r="F77" s="61" t="s">
        <v>32</v>
      </c>
      <c r="G77" s="79">
        <f>10*LOG10((1/3)*(10^(0.1*G74)+10^(0.1*G75)+10^(0.1*G76)))</f>
        <v>0</v>
      </c>
      <c r="H77" s="61" t="s">
        <v>33</v>
      </c>
      <c r="I77" s="79">
        <f>10*LOG10((1/3)*(10^(0.1*I74)+10^(0.1*I75)+10^(0.1*I76)))</f>
        <v>0</v>
      </c>
      <c r="J77" s="63" t="s">
        <v>34</v>
      </c>
      <c r="K77" s="78">
        <f>(K74+K75+K76)/3</f>
        <v>0</v>
      </c>
      <c r="M77" s="39"/>
      <c r="N77" s="95"/>
      <c r="O77" s="99"/>
    </row>
    <row r="78" spans="2:15" ht="15.75" thickTop="1">
      <c r="B78" s="137"/>
      <c r="C78" s="138"/>
      <c r="D78" s="27"/>
      <c r="E78" s="60"/>
      <c r="F78" s="65"/>
      <c r="G78" s="66"/>
      <c r="H78" s="65"/>
      <c r="I78" s="66"/>
      <c r="J78" s="65"/>
      <c r="K78" s="66"/>
      <c r="M78" s="39"/>
      <c r="N78" s="96"/>
      <c r="O78" s="40"/>
    </row>
    <row r="79" spans="2:15">
      <c r="B79" s="137"/>
      <c r="C79" s="138"/>
      <c r="D79" s="67" t="s">
        <v>36</v>
      </c>
      <c r="E79" s="60"/>
      <c r="F79" s="65"/>
      <c r="G79" s="66"/>
      <c r="H79" s="65"/>
      <c r="I79" s="66"/>
      <c r="J79" s="65"/>
      <c r="K79" s="66"/>
      <c r="M79" s="39"/>
      <c r="N79" s="96"/>
      <c r="O79" s="40"/>
    </row>
    <row r="80" spans="2:15" ht="15.75" thickBot="1">
      <c r="B80" s="139"/>
      <c r="C80" s="140"/>
      <c r="D80" s="68">
        <f>D78/60</f>
        <v>0</v>
      </c>
      <c r="E80" s="60"/>
      <c r="F80" s="69"/>
      <c r="G80" s="70"/>
      <c r="H80" s="70"/>
      <c r="I80" s="70"/>
      <c r="J80" s="71"/>
      <c r="K80" s="71"/>
      <c r="M80" s="39"/>
      <c r="N80" s="96"/>
      <c r="O80" s="40"/>
    </row>
    <row r="81" spans="2:15" ht="15.75" thickTop="1">
      <c r="M81" s="39"/>
      <c r="N81" s="96"/>
      <c r="O81" s="40"/>
    </row>
    <row r="82" spans="2:15" ht="15.75" thickBot="1">
      <c r="M82" s="39"/>
      <c r="N82" s="96"/>
      <c r="O82" s="40"/>
    </row>
    <row r="83" spans="2:15" ht="27" thickTop="1" thickBot="1">
      <c r="B83" s="33" t="s">
        <v>41</v>
      </c>
      <c r="C83" s="34" t="s">
        <v>1</v>
      </c>
      <c r="D83" s="102"/>
      <c r="E83" s="103"/>
      <c r="F83" s="103"/>
      <c r="G83" s="103"/>
      <c r="H83" s="103"/>
      <c r="I83" s="103"/>
      <c r="J83" s="103"/>
      <c r="K83" s="104"/>
      <c r="M83" s="39"/>
      <c r="N83" s="96"/>
      <c r="O83" s="40"/>
    </row>
    <row r="84" spans="2:15" ht="17.100000000000001" customHeight="1" thickTop="1">
      <c r="B84" s="105" t="s">
        <v>2</v>
      </c>
      <c r="C84" s="38" t="s">
        <v>3</v>
      </c>
      <c r="D84" s="116" t="s">
        <v>4</v>
      </c>
      <c r="E84" s="117"/>
      <c r="F84" s="117"/>
      <c r="G84" s="117"/>
      <c r="H84" s="117"/>
      <c r="I84" s="117"/>
      <c r="J84" s="117"/>
      <c r="K84" s="118"/>
      <c r="M84" s="39"/>
      <c r="N84" s="96"/>
      <c r="O84" s="40"/>
    </row>
    <row r="85" spans="2:15" ht="16.149999999999999" customHeight="1">
      <c r="B85" s="106"/>
      <c r="C85" s="41" t="s">
        <v>5</v>
      </c>
      <c r="D85" s="119" t="s">
        <v>4</v>
      </c>
      <c r="E85" s="120"/>
      <c r="F85" s="120"/>
      <c r="G85" s="120"/>
      <c r="H85" s="120"/>
      <c r="I85" s="120"/>
      <c r="J85" s="120"/>
      <c r="K85" s="121"/>
      <c r="M85" s="39"/>
      <c r="N85" s="96"/>
      <c r="O85" s="40"/>
    </row>
    <row r="86" spans="2:15" ht="17.100000000000001" customHeight="1" thickBot="1">
      <c r="B86" s="107"/>
      <c r="C86" s="43" t="s">
        <v>7</v>
      </c>
      <c r="D86" s="112" t="s">
        <v>4</v>
      </c>
      <c r="E86" s="113"/>
      <c r="F86" s="113"/>
      <c r="G86" s="113"/>
      <c r="H86" s="113"/>
      <c r="I86" s="113"/>
      <c r="J86" s="113"/>
      <c r="K86" s="114"/>
      <c r="M86" s="39"/>
      <c r="N86" s="96"/>
      <c r="O86" s="40"/>
    </row>
    <row r="87" spans="2:15" ht="16.149999999999999" thickTop="1" thickBot="1"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M87" s="39"/>
      <c r="N87" s="96"/>
      <c r="O87" s="40"/>
    </row>
    <row r="88" spans="2:15" ht="15.75" thickTop="1">
      <c r="B88" s="128" t="s">
        <v>11</v>
      </c>
      <c r="C88" s="129"/>
      <c r="D88" s="47" t="s">
        <v>12</v>
      </c>
      <c r="E88" s="88"/>
      <c r="F88" s="130" t="s">
        <v>13</v>
      </c>
      <c r="G88" s="131"/>
      <c r="H88" s="131"/>
      <c r="I88" s="131"/>
      <c r="J88" s="131"/>
      <c r="K88" s="132"/>
      <c r="M88" s="39"/>
      <c r="N88" s="90" t="s">
        <v>14</v>
      </c>
      <c r="O88" s="98"/>
    </row>
    <row r="89" spans="2:15" ht="15.75" thickBot="1">
      <c r="B89" s="133" t="s">
        <v>15</v>
      </c>
      <c r="C89" s="134"/>
      <c r="D89" s="49" t="s">
        <v>16</v>
      </c>
      <c r="E89" s="88"/>
      <c r="F89" s="50" t="s">
        <v>14</v>
      </c>
      <c r="G89" s="52" t="s">
        <v>17</v>
      </c>
      <c r="H89" s="51" t="s">
        <v>18</v>
      </c>
      <c r="I89" s="51" t="s">
        <v>19</v>
      </c>
      <c r="J89" s="52" t="s">
        <v>20</v>
      </c>
      <c r="K89" s="77" t="s">
        <v>19</v>
      </c>
      <c r="M89" s="39"/>
      <c r="N89" s="95"/>
      <c r="O89" s="99"/>
    </row>
    <row r="90" spans="2:15">
      <c r="B90" s="135">
        <f>B74</f>
        <v>0</v>
      </c>
      <c r="C90" s="136"/>
      <c r="D90" s="55">
        <f>IF(D94&lt;380, 1.25*D94, D94)</f>
        <v>0</v>
      </c>
      <c r="E90" s="88"/>
      <c r="F90" s="56" t="s">
        <v>22</v>
      </c>
      <c r="G90" s="94">
        <f>N89*0.996</f>
        <v>0</v>
      </c>
      <c r="H90" s="56" t="s">
        <v>23</v>
      </c>
      <c r="I90" s="91">
        <f>N91*1.002</f>
        <v>0</v>
      </c>
      <c r="J90" s="57" t="s">
        <v>24</v>
      </c>
      <c r="K90" s="93">
        <f>N93*1.004</f>
        <v>0</v>
      </c>
      <c r="M90" s="39"/>
      <c r="N90" s="90" t="s">
        <v>18</v>
      </c>
      <c r="O90" s="98"/>
    </row>
    <row r="91" spans="2:15" ht="15.75" thickBot="1">
      <c r="B91" s="137"/>
      <c r="C91" s="138"/>
      <c r="D91" s="55">
        <f>IF(D94&lt;380, 0.95*D94, D94)</f>
        <v>0</v>
      </c>
      <c r="E91" s="88"/>
      <c r="F91" s="56" t="s">
        <v>25</v>
      </c>
      <c r="G91" s="94">
        <f>N89*0.999</f>
        <v>0</v>
      </c>
      <c r="H91" s="56" t="s">
        <v>26</v>
      </c>
      <c r="I91" s="91">
        <f>N91*0.997</f>
        <v>0</v>
      </c>
      <c r="J91" s="57" t="s">
        <v>27</v>
      </c>
      <c r="K91" s="93">
        <f>N93*0.998</f>
        <v>0</v>
      </c>
      <c r="M91" s="39"/>
      <c r="N91" s="95"/>
      <c r="O91" s="99"/>
    </row>
    <row r="92" spans="2:15">
      <c r="B92" s="137"/>
      <c r="C92" s="138"/>
      <c r="D92" s="55">
        <f>IF(D94&lt;380, 0.8*D94, D94)</f>
        <v>0</v>
      </c>
      <c r="E92" s="88"/>
      <c r="F92" s="56" t="s">
        <v>28</v>
      </c>
      <c r="G92" s="94">
        <f>N89*1.005</f>
        <v>0</v>
      </c>
      <c r="H92" s="56" t="s">
        <v>29</v>
      </c>
      <c r="I92" s="91">
        <f>N91*1.003</f>
        <v>0</v>
      </c>
      <c r="J92" s="57" t="s">
        <v>30</v>
      </c>
      <c r="K92" s="93">
        <f>N93*0.999</f>
        <v>0</v>
      </c>
      <c r="M92" s="39"/>
      <c r="N92" s="90" t="s">
        <v>20</v>
      </c>
      <c r="O92" s="98"/>
    </row>
    <row r="93" spans="2:15" ht="15.75" thickBot="1">
      <c r="B93" s="137"/>
      <c r="C93" s="138"/>
      <c r="D93" s="49" t="s">
        <v>31</v>
      </c>
      <c r="E93" s="60"/>
      <c r="F93" s="61" t="s">
        <v>32</v>
      </c>
      <c r="G93" s="79">
        <f>10*LOG10((1/3)*(10^(0.1*G90)+10^(0.1*G91)+10^(0.1*G92)))</f>
        <v>0</v>
      </c>
      <c r="H93" s="61" t="s">
        <v>33</v>
      </c>
      <c r="I93" s="79">
        <f>10*LOG10((1/3)*(10^(0.1*I90)+10^(0.1*I91)+10^(0.1*I92)))</f>
        <v>0</v>
      </c>
      <c r="J93" s="63" t="s">
        <v>34</v>
      </c>
      <c r="K93" s="78">
        <f>(K90+K91+K92)/3</f>
        <v>0</v>
      </c>
      <c r="M93" s="39"/>
      <c r="N93" s="95"/>
      <c r="O93" s="99"/>
    </row>
    <row r="94" spans="2:15" ht="15.75" thickTop="1">
      <c r="B94" s="137"/>
      <c r="C94" s="138"/>
      <c r="D94" s="25"/>
      <c r="E94" s="60"/>
      <c r="F94" s="65"/>
      <c r="G94" s="66"/>
      <c r="H94" s="65"/>
      <c r="I94" s="66"/>
      <c r="J94" s="65"/>
      <c r="K94" s="66"/>
      <c r="M94" s="39"/>
      <c r="N94" s="96"/>
      <c r="O94" s="40"/>
    </row>
    <row r="95" spans="2:15">
      <c r="B95" s="137"/>
      <c r="C95" s="138"/>
      <c r="D95" s="67" t="s">
        <v>36</v>
      </c>
      <c r="E95" s="60"/>
      <c r="F95" s="65"/>
      <c r="G95" s="66"/>
      <c r="H95" s="65"/>
      <c r="I95" s="66"/>
      <c r="J95" s="65"/>
      <c r="K95" s="66"/>
      <c r="M95" s="39"/>
      <c r="N95" s="96"/>
      <c r="O95" s="40"/>
    </row>
    <row r="96" spans="2:15" ht="15.75" thickBot="1">
      <c r="B96" s="139"/>
      <c r="C96" s="140"/>
      <c r="D96" s="68">
        <f>D94/60</f>
        <v>0</v>
      </c>
      <c r="E96" s="60"/>
      <c r="F96" s="69"/>
      <c r="G96" s="70"/>
      <c r="H96" s="70"/>
      <c r="I96" s="70"/>
      <c r="J96" s="71"/>
      <c r="K96" s="71"/>
      <c r="M96" s="39"/>
      <c r="N96" s="96"/>
      <c r="O96" s="40"/>
    </row>
    <row r="97" spans="2:15" ht="15.75" thickTop="1">
      <c r="M97" s="39"/>
      <c r="N97" s="96"/>
      <c r="O97" s="40"/>
    </row>
    <row r="98" spans="2:15" ht="15.75" thickBot="1">
      <c r="M98" s="39"/>
      <c r="N98" s="96"/>
      <c r="O98" s="40"/>
    </row>
    <row r="99" spans="2:15" ht="27" thickTop="1" thickBot="1">
      <c r="B99" s="33" t="s">
        <v>42</v>
      </c>
      <c r="C99" s="34" t="s">
        <v>1</v>
      </c>
      <c r="D99" s="102"/>
      <c r="E99" s="103"/>
      <c r="F99" s="103"/>
      <c r="G99" s="103"/>
      <c r="H99" s="103"/>
      <c r="I99" s="103"/>
      <c r="J99" s="103"/>
      <c r="K99" s="104"/>
      <c r="M99" s="39"/>
      <c r="N99" s="96"/>
      <c r="O99" s="40"/>
    </row>
    <row r="100" spans="2:15" ht="17.100000000000001" customHeight="1" thickTop="1">
      <c r="B100" s="105" t="s">
        <v>2</v>
      </c>
      <c r="C100" s="38" t="s">
        <v>3</v>
      </c>
      <c r="D100" s="116" t="s">
        <v>4</v>
      </c>
      <c r="E100" s="117"/>
      <c r="F100" s="117"/>
      <c r="G100" s="117"/>
      <c r="H100" s="117"/>
      <c r="I100" s="117"/>
      <c r="J100" s="117"/>
      <c r="K100" s="118"/>
      <c r="M100" s="39"/>
      <c r="N100" s="96"/>
      <c r="O100" s="40"/>
    </row>
    <row r="101" spans="2:15" ht="16.149999999999999" customHeight="1">
      <c r="B101" s="106"/>
      <c r="C101" s="41" t="s">
        <v>5</v>
      </c>
      <c r="D101" s="119" t="s">
        <v>4</v>
      </c>
      <c r="E101" s="120"/>
      <c r="F101" s="120"/>
      <c r="G101" s="120"/>
      <c r="H101" s="120"/>
      <c r="I101" s="120"/>
      <c r="J101" s="120"/>
      <c r="K101" s="121"/>
      <c r="M101" s="39"/>
      <c r="N101" s="96"/>
      <c r="O101" s="40"/>
    </row>
    <row r="102" spans="2:15" ht="17.100000000000001" customHeight="1" thickBot="1">
      <c r="B102" s="107"/>
      <c r="C102" s="43" t="s">
        <v>7</v>
      </c>
      <c r="D102" s="112" t="s">
        <v>4</v>
      </c>
      <c r="E102" s="113"/>
      <c r="F102" s="113"/>
      <c r="G102" s="113"/>
      <c r="H102" s="113"/>
      <c r="I102" s="113"/>
      <c r="J102" s="113"/>
      <c r="K102" s="114"/>
      <c r="M102" s="39"/>
      <c r="N102" s="96"/>
      <c r="O102" s="40"/>
    </row>
    <row r="103" spans="2:15" ht="16.149999999999999" thickTop="1" thickBot="1"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M103" s="39"/>
      <c r="N103" s="96"/>
      <c r="O103" s="40"/>
    </row>
    <row r="104" spans="2:15" ht="15.75" thickTop="1">
      <c r="B104" s="128" t="s">
        <v>11</v>
      </c>
      <c r="C104" s="129"/>
      <c r="D104" s="47" t="s">
        <v>12</v>
      </c>
      <c r="E104" s="88"/>
      <c r="F104" s="130" t="s">
        <v>13</v>
      </c>
      <c r="G104" s="131"/>
      <c r="H104" s="131"/>
      <c r="I104" s="131"/>
      <c r="J104" s="131"/>
      <c r="K104" s="132"/>
      <c r="M104" s="39"/>
      <c r="N104" s="90" t="s">
        <v>14</v>
      </c>
      <c r="O104" s="98"/>
    </row>
    <row r="105" spans="2:15" ht="15.75" thickBot="1">
      <c r="B105" s="133" t="s">
        <v>15</v>
      </c>
      <c r="C105" s="134"/>
      <c r="D105" s="49" t="s">
        <v>16</v>
      </c>
      <c r="E105" s="88"/>
      <c r="F105" s="50" t="s">
        <v>14</v>
      </c>
      <c r="G105" s="52" t="s">
        <v>17</v>
      </c>
      <c r="H105" s="51" t="s">
        <v>18</v>
      </c>
      <c r="I105" s="51" t="s">
        <v>19</v>
      </c>
      <c r="J105" s="52" t="s">
        <v>20</v>
      </c>
      <c r="K105" s="77" t="s">
        <v>19</v>
      </c>
      <c r="M105" s="39"/>
      <c r="N105" s="95"/>
      <c r="O105" s="99"/>
    </row>
    <row r="106" spans="2:15">
      <c r="B106" s="135">
        <f>B58</f>
        <v>0</v>
      </c>
      <c r="C106" s="136"/>
      <c r="D106" s="55">
        <f>IF(D110&lt;380, 0.9*D110, D110)</f>
        <v>0</v>
      </c>
      <c r="E106" s="88"/>
      <c r="F106" s="56" t="s">
        <v>22</v>
      </c>
      <c r="G106" s="94">
        <f>N105*1.004</f>
        <v>0</v>
      </c>
      <c r="H106" s="56" t="s">
        <v>23</v>
      </c>
      <c r="I106" s="91">
        <f>N107*1.001</f>
        <v>0</v>
      </c>
      <c r="J106" s="57" t="s">
        <v>24</v>
      </c>
      <c r="K106" s="93">
        <f>N109*0.996</f>
        <v>0</v>
      </c>
      <c r="M106" s="39"/>
      <c r="N106" s="90" t="s">
        <v>18</v>
      </c>
      <c r="O106" s="98"/>
    </row>
    <row r="107" spans="2:15" ht="15.75" thickBot="1">
      <c r="B107" s="137"/>
      <c r="C107" s="138"/>
      <c r="D107" s="55">
        <f>IF(D110&lt;380, 1.15*D110, D110)</f>
        <v>0</v>
      </c>
      <c r="E107" s="88"/>
      <c r="F107" s="56" t="s">
        <v>25</v>
      </c>
      <c r="G107" s="94">
        <f>N105*0.997</f>
        <v>0</v>
      </c>
      <c r="H107" s="56" t="s">
        <v>26</v>
      </c>
      <c r="I107" s="91">
        <f>N107*1.003</f>
        <v>0</v>
      </c>
      <c r="J107" s="57" t="s">
        <v>27</v>
      </c>
      <c r="K107" s="93">
        <f>N109*1.002</f>
        <v>0</v>
      </c>
      <c r="M107" s="39"/>
      <c r="N107" s="95"/>
      <c r="O107" s="99"/>
    </row>
    <row r="108" spans="2:15">
      <c r="B108" s="137"/>
      <c r="C108" s="138"/>
      <c r="D108" s="55">
        <f>IF(D110&lt;380, 0.95*D110, D110)</f>
        <v>0</v>
      </c>
      <c r="E108" s="88"/>
      <c r="F108" s="56" t="s">
        <v>28</v>
      </c>
      <c r="G108" s="94">
        <f>N105*0.995</f>
        <v>0</v>
      </c>
      <c r="H108" s="56" t="s">
        <v>29</v>
      </c>
      <c r="I108" s="91">
        <f>N107*0.998</f>
        <v>0</v>
      </c>
      <c r="J108" s="57" t="s">
        <v>30</v>
      </c>
      <c r="K108" s="93">
        <f>N109*1.003</f>
        <v>0</v>
      </c>
      <c r="M108" s="39"/>
      <c r="N108" s="90" t="s">
        <v>20</v>
      </c>
      <c r="O108" s="98"/>
    </row>
    <row r="109" spans="2:15" ht="15.75" thickBot="1">
      <c r="B109" s="137"/>
      <c r="C109" s="138"/>
      <c r="D109" s="49" t="s">
        <v>31</v>
      </c>
      <c r="E109" s="60"/>
      <c r="F109" s="61" t="s">
        <v>32</v>
      </c>
      <c r="G109" s="79">
        <f>10*LOG10((1/3)*(10^(0.1*G106)+10^(0.1*G107)+10^(0.1*G108)))</f>
        <v>0</v>
      </c>
      <c r="H109" s="61" t="s">
        <v>33</v>
      </c>
      <c r="I109" s="79">
        <f>10*LOG10((1/3)*(10^(0.1*I106)+10^(0.1*I107)+10^(0.1*I108)))</f>
        <v>0</v>
      </c>
      <c r="J109" s="63" t="s">
        <v>34</v>
      </c>
      <c r="K109" s="78">
        <f>(K106+K107+K108)/3</f>
        <v>0</v>
      </c>
      <c r="M109" s="39"/>
      <c r="N109" s="95"/>
      <c r="O109" s="99"/>
    </row>
    <row r="110" spans="2:15" ht="15.75" thickTop="1">
      <c r="B110" s="137"/>
      <c r="C110" s="138"/>
      <c r="D110" s="25"/>
      <c r="E110" s="60"/>
      <c r="F110" s="65"/>
      <c r="G110" s="66"/>
      <c r="H110" s="65"/>
      <c r="I110" s="66"/>
      <c r="J110" s="65"/>
      <c r="K110" s="66"/>
      <c r="M110" s="39"/>
      <c r="N110" s="96"/>
      <c r="O110" s="40"/>
    </row>
    <row r="111" spans="2:15">
      <c r="B111" s="137"/>
      <c r="C111" s="138"/>
      <c r="D111" s="67" t="s">
        <v>36</v>
      </c>
      <c r="E111" s="60"/>
      <c r="F111" s="65"/>
      <c r="G111" s="66"/>
      <c r="H111" s="65"/>
      <c r="I111" s="66"/>
      <c r="J111" s="65"/>
      <c r="K111" s="66"/>
      <c r="M111" s="39"/>
      <c r="N111" s="96"/>
      <c r="O111" s="40"/>
    </row>
    <row r="112" spans="2:15" ht="15.75" thickBot="1">
      <c r="B112" s="139"/>
      <c r="C112" s="140"/>
      <c r="D112" s="68">
        <f>D110/60</f>
        <v>0</v>
      </c>
      <c r="E112" s="60"/>
      <c r="F112" s="69"/>
      <c r="G112" s="70"/>
      <c r="H112" s="70"/>
      <c r="I112" s="70"/>
      <c r="J112" s="71"/>
      <c r="K112" s="71"/>
      <c r="M112" s="39"/>
      <c r="N112" s="96"/>
      <c r="O112" s="40"/>
    </row>
    <row r="113" spans="2:15" ht="15.75" thickTop="1">
      <c r="M113" s="39"/>
      <c r="N113" s="96"/>
      <c r="O113" s="40"/>
    </row>
    <row r="114" spans="2:15" ht="15.75" thickBot="1">
      <c r="M114" s="39"/>
      <c r="N114" s="96"/>
      <c r="O114" s="40"/>
    </row>
    <row r="115" spans="2:15" ht="27" thickTop="1" thickBot="1">
      <c r="B115" s="33" t="s">
        <v>43</v>
      </c>
      <c r="C115" s="34" t="s">
        <v>1</v>
      </c>
      <c r="D115" s="102"/>
      <c r="E115" s="103"/>
      <c r="F115" s="103"/>
      <c r="G115" s="103"/>
      <c r="H115" s="103"/>
      <c r="I115" s="103"/>
      <c r="J115" s="103"/>
      <c r="K115" s="104"/>
      <c r="M115" s="39"/>
      <c r="N115" s="96"/>
      <c r="O115" s="40"/>
    </row>
    <row r="116" spans="2:15" ht="17.100000000000001" customHeight="1" thickTop="1">
      <c r="B116" s="105" t="s">
        <v>2</v>
      </c>
      <c r="C116" s="38" t="s">
        <v>3</v>
      </c>
      <c r="D116" s="116" t="s">
        <v>4</v>
      </c>
      <c r="E116" s="117"/>
      <c r="F116" s="117"/>
      <c r="G116" s="117"/>
      <c r="H116" s="117"/>
      <c r="I116" s="117"/>
      <c r="J116" s="117"/>
      <c r="K116" s="118"/>
      <c r="M116" s="39"/>
      <c r="N116" s="96"/>
      <c r="O116" s="40"/>
    </row>
    <row r="117" spans="2:15" ht="16.149999999999999" customHeight="1">
      <c r="B117" s="106"/>
      <c r="C117" s="41" t="s">
        <v>5</v>
      </c>
      <c r="D117" s="119" t="s">
        <v>4</v>
      </c>
      <c r="E117" s="120"/>
      <c r="F117" s="120"/>
      <c r="G117" s="120"/>
      <c r="H117" s="120"/>
      <c r="I117" s="120"/>
      <c r="J117" s="120"/>
      <c r="K117" s="121"/>
      <c r="M117" s="39"/>
      <c r="N117" s="96"/>
      <c r="O117" s="40"/>
    </row>
    <row r="118" spans="2:15" ht="17.100000000000001" customHeight="1" thickBot="1">
      <c r="B118" s="107"/>
      <c r="C118" s="43" t="s">
        <v>7</v>
      </c>
      <c r="D118" s="112" t="s">
        <v>4</v>
      </c>
      <c r="E118" s="113"/>
      <c r="F118" s="113"/>
      <c r="G118" s="113"/>
      <c r="H118" s="113"/>
      <c r="I118" s="113"/>
      <c r="J118" s="113"/>
      <c r="K118" s="114"/>
      <c r="M118" s="39"/>
      <c r="N118" s="96"/>
      <c r="O118" s="40"/>
    </row>
    <row r="119" spans="2:15" ht="16.149999999999999" thickTop="1" thickBot="1"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M119" s="39"/>
      <c r="N119" s="96"/>
      <c r="O119" s="40"/>
    </row>
    <row r="120" spans="2:15" ht="15.75" thickTop="1">
      <c r="B120" s="128" t="s">
        <v>11</v>
      </c>
      <c r="C120" s="129"/>
      <c r="D120" s="47" t="s">
        <v>12</v>
      </c>
      <c r="E120" s="88"/>
      <c r="F120" s="130" t="s">
        <v>13</v>
      </c>
      <c r="G120" s="131"/>
      <c r="H120" s="131"/>
      <c r="I120" s="131"/>
      <c r="J120" s="131"/>
      <c r="K120" s="132"/>
      <c r="M120" s="39"/>
      <c r="N120" s="90" t="s">
        <v>14</v>
      </c>
      <c r="O120" s="98"/>
    </row>
    <row r="121" spans="2:15" ht="15.75" thickBot="1">
      <c r="B121" s="133" t="s">
        <v>15</v>
      </c>
      <c r="C121" s="134"/>
      <c r="D121" s="49" t="s">
        <v>16</v>
      </c>
      <c r="E121" s="88"/>
      <c r="F121" s="50" t="s">
        <v>14</v>
      </c>
      <c r="G121" s="52" t="s">
        <v>17</v>
      </c>
      <c r="H121" s="51" t="s">
        <v>18</v>
      </c>
      <c r="I121" s="51" t="s">
        <v>19</v>
      </c>
      <c r="J121" s="52" t="s">
        <v>20</v>
      </c>
      <c r="K121" s="77" t="s">
        <v>19</v>
      </c>
      <c r="M121" s="39"/>
      <c r="N121" s="95"/>
      <c r="O121" s="99"/>
    </row>
    <row r="122" spans="2:15">
      <c r="B122" s="135">
        <f>B74</f>
        <v>0</v>
      </c>
      <c r="C122" s="136"/>
      <c r="D122" s="55">
        <f>IF(D126&lt;380, 0.85*D126, D126)</f>
        <v>0</v>
      </c>
      <c r="E122" s="88"/>
      <c r="F122" s="56" t="s">
        <v>22</v>
      </c>
      <c r="G122" s="94">
        <f>N121*1.005</f>
        <v>0</v>
      </c>
      <c r="H122" s="56" t="s">
        <v>23</v>
      </c>
      <c r="I122" s="91">
        <f>N123*0.997</f>
        <v>0</v>
      </c>
      <c r="J122" s="57" t="s">
        <v>24</v>
      </c>
      <c r="K122" s="93">
        <f>N125*1.001</f>
        <v>0</v>
      </c>
      <c r="M122" s="39"/>
      <c r="N122" s="90" t="s">
        <v>18</v>
      </c>
      <c r="O122" s="98"/>
    </row>
    <row r="123" spans="2:15" ht="15.75" thickBot="1">
      <c r="B123" s="137"/>
      <c r="C123" s="138"/>
      <c r="D123" s="55">
        <f>IF(D126&lt;380, 0.9*D126, D126)</f>
        <v>0</v>
      </c>
      <c r="E123" s="88"/>
      <c r="F123" s="56" t="s">
        <v>25</v>
      </c>
      <c r="G123" s="94">
        <f>N121*0.998</f>
        <v>0</v>
      </c>
      <c r="H123" s="56" t="s">
        <v>26</v>
      </c>
      <c r="I123" s="91">
        <f>N123*0.999</f>
        <v>0</v>
      </c>
      <c r="J123" s="57" t="s">
        <v>27</v>
      </c>
      <c r="K123" s="93">
        <f>N125*0.998</f>
        <v>0</v>
      </c>
      <c r="M123" s="39"/>
      <c r="N123" s="95"/>
      <c r="O123" s="99"/>
    </row>
    <row r="124" spans="2:15">
      <c r="B124" s="137"/>
      <c r="C124" s="138"/>
      <c r="D124" s="55">
        <f>IF(D126&lt;380, 1.25*D126, D126)</f>
        <v>0</v>
      </c>
      <c r="E124" s="88"/>
      <c r="F124" s="56" t="s">
        <v>28</v>
      </c>
      <c r="G124" s="94">
        <f>N121*1.003</f>
        <v>0</v>
      </c>
      <c r="H124" s="56" t="s">
        <v>29</v>
      </c>
      <c r="I124" s="91">
        <f>N123*1.005</f>
        <v>0</v>
      </c>
      <c r="J124" s="57" t="s">
        <v>30</v>
      </c>
      <c r="K124" s="93">
        <f>N125*1.004</f>
        <v>0</v>
      </c>
      <c r="M124" s="39"/>
      <c r="N124" s="90" t="s">
        <v>20</v>
      </c>
      <c r="O124" s="98"/>
    </row>
    <row r="125" spans="2:15" ht="15.75" thickBot="1">
      <c r="B125" s="137"/>
      <c r="C125" s="138"/>
      <c r="D125" s="49" t="s">
        <v>31</v>
      </c>
      <c r="E125" s="60"/>
      <c r="F125" s="61" t="s">
        <v>32</v>
      </c>
      <c r="G125" s="79">
        <f>10*LOG10((1/3)*(10^(0.1*G122)+10^(0.1*G123)+10^(0.1*G124)))</f>
        <v>0</v>
      </c>
      <c r="H125" s="61" t="s">
        <v>33</v>
      </c>
      <c r="I125" s="79">
        <f>10*LOG10((1/3)*(10^(0.1*I122)+10^(0.1*I123)+10^(0.1*I124)))</f>
        <v>0</v>
      </c>
      <c r="J125" s="63" t="s">
        <v>34</v>
      </c>
      <c r="K125" s="78">
        <f>(K122+K123+K124)/3</f>
        <v>0</v>
      </c>
      <c r="M125" s="39"/>
      <c r="N125" s="95"/>
      <c r="O125" s="99"/>
    </row>
    <row r="126" spans="2:15" ht="15.75" thickTop="1">
      <c r="B126" s="137"/>
      <c r="C126" s="138"/>
      <c r="D126" s="25"/>
      <c r="E126" s="60"/>
      <c r="F126" s="65"/>
      <c r="G126" s="66"/>
      <c r="H126" s="65"/>
      <c r="I126" s="66"/>
      <c r="J126" s="65"/>
      <c r="K126" s="66"/>
      <c r="M126" s="39"/>
      <c r="N126" s="96"/>
      <c r="O126" s="40"/>
    </row>
    <row r="127" spans="2:15">
      <c r="B127" s="137"/>
      <c r="C127" s="138"/>
      <c r="D127" s="67" t="s">
        <v>36</v>
      </c>
      <c r="E127" s="60"/>
      <c r="F127" s="65"/>
      <c r="G127" s="66"/>
      <c r="H127" s="65"/>
      <c r="I127" s="66"/>
      <c r="J127" s="65"/>
      <c r="K127" s="66"/>
      <c r="M127" s="39"/>
      <c r="N127" s="96"/>
      <c r="O127" s="40"/>
    </row>
    <row r="128" spans="2:15" ht="15.75" thickBot="1">
      <c r="B128" s="139"/>
      <c r="C128" s="140"/>
      <c r="D128" s="68">
        <f>D126/60</f>
        <v>0</v>
      </c>
      <c r="E128" s="60"/>
      <c r="F128" s="69"/>
      <c r="G128" s="70"/>
      <c r="H128" s="70"/>
      <c r="I128" s="70"/>
      <c r="J128" s="71"/>
      <c r="K128" s="71"/>
      <c r="M128" s="39"/>
      <c r="N128" s="96"/>
      <c r="O128" s="40"/>
    </row>
    <row r="129" spans="2:15" ht="15.75" thickTop="1">
      <c r="M129" s="39"/>
      <c r="N129" s="96"/>
      <c r="O129" s="40"/>
    </row>
    <row r="130" spans="2:15" ht="15.75" thickBot="1">
      <c r="M130" s="39"/>
      <c r="N130" s="96"/>
      <c r="O130" s="40"/>
    </row>
    <row r="131" spans="2:15" ht="27.4" customHeight="1" thickTop="1" thickBot="1">
      <c r="B131" s="33" t="s">
        <v>44</v>
      </c>
      <c r="C131" s="34" t="s">
        <v>1</v>
      </c>
      <c r="D131" s="102"/>
      <c r="E131" s="103"/>
      <c r="F131" s="103"/>
      <c r="G131" s="103"/>
      <c r="H131" s="103"/>
      <c r="I131" s="103"/>
      <c r="J131" s="103"/>
      <c r="K131" s="104"/>
      <c r="M131" s="39"/>
      <c r="N131" s="96"/>
      <c r="O131" s="40"/>
    </row>
    <row r="132" spans="2:15" ht="17.100000000000001" customHeight="1" thickTop="1">
      <c r="B132" s="105" t="s">
        <v>2</v>
      </c>
      <c r="C132" s="38" t="s">
        <v>3</v>
      </c>
      <c r="D132" s="116" t="s">
        <v>4</v>
      </c>
      <c r="E132" s="117"/>
      <c r="F132" s="117"/>
      <c r="G132" s="117"/>
      <c r="H132" s="117"/>
      <c r="I132" s="117"/>
      <c r="J132" s="117"/>
      <c r="K132" s="118"/>
      <c r="M132" s="39"/>
      <c r="N132" s="96"/>
      <c r="O132" s="40"/>
    </row>
    <row r="133" spans="2:15" ht="16.149999999999999" customHeight="1">
      <c r="B133" s="106"/>
      <c r="C133" s="41" t="s">
        <v>5</v>
      </c>
      <c r="D133" s="119" t="s">
        <v>4</v>
      </c>
      <c r="E133" s="120"/>
      <c r="F133" s="120"/>
      <c r="G133" s="120"/>
      <c r="H133" s="120"/>
      <c r="I133" s="120"/>
      <c r="J133" s="120"/>
      <c r="K133" s="121"/>
      <c r="M133" s="39"/>
      <c r="N133" s="96"/>
      <c r="O133" s="40"/>
    </row>
    <row r="134" spans="2:15" ht="17.100000000000001" customHeight="1" thickBot="1">
      <c r="B134" s="107"/>
      <c r="C134" s="43" t="s">
        <v>7</v>
      </c>
      <c r="D134" s="112" t="s">
        <v>4</v>
      </c>
      <c r="E134" s="113"/>
      <c r="F134" s="113"/>
      <c r="G134" s="113"/>
      <c r="H134" s="113"/>
      <c r="I134" s="113"/>
      <c r="J134" s="113"/>
      <c r="K134" s="114"/>
      <c r="M134" s="39"/>
      <c r="N134" s="96"/>
      <c r="O134" s="40"/>
    </row>
    <row r="135" spans="2:15" ht="16.149999999999999" thickTop="1" thickBot="1"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M135" s="39"/>
      <c r="N135" s="96"/>
      <c r="O135" s="40"/>
    </row>
    <row r="136" spans="2:15" ht="15.75" thickTop="1">
      <c r="B136" s="128" t="s">
        <v>11</v>
      </c>
      <c r="C136" s="129"/>
      <c r="D136" s="47" t="s">
        <v>12</v>
      </c>
      <c r="E136" s="88"/>
      <c r="F136" s="130" t="s">
        <v>13</v>
      </c>
      <c r="G136" s="131"/>
      <c r="H136" s="131"/>
      <c r="I136" s="131"/>
      <c r="J136" s="131"/>
      <c r="K136" s="132"/>
      <c r="M136" s="39"/>
      <c r="N136" s="90" t="s">
        <v>14</v>
      </c>
      <c r="O136" s="98"/>
    </row>
    <row r="137" spans="2:15" ht="15.75" thickBot="1">
      <c r="B137" s="133" t="s">
        <v>15</v>
      </c>
      <c r="C137" s="134"/>
      <c r="D137" s="49" t="s">
        <v>16</v>
      </c>
      <c r="E137" s="88"/>
      <c r="F137" s="50" t="s">
        <v>14</v>
      </c>
      <c r="G137" s="52" t="s">
        <v>17</v>
      </c>
      <c r="H137" s="51" t="s">
        <v>18</v>
      </c>
      <c r="I137" s="51" t="s">
        <v>19</v>
      </c>
      <c r="J137" s="52" t="s">
        <v>20</v>
      </c>
      <c r="K137" s="77" t="s">
        <v>19</v>
      </c>
      <c r="M137" s="39"/>
      <c r="N137" s="95"/>
      <c r="O137" s="99"/>
    </row>
    <row r="138" spans="2:15">
      <c r="B138" s="135">
        <f>B122</f>
        <v>0</v>
      </c>
      <c r="C138" s="136"/>
      <c r="D138" s="55">
        <f>IF(D142&lt;380, 0.95*D142, D142)</f>
        <v>0</v>
      </c>
      <c r="E138" s="88"/>
      <c r="F138" s="56" t="s">
        <v>22</v>
      </c>
      <c r="G138" s="94">
        <f>N137*1.002</f>
        <v>0</v>
      </c>
      <c r="H138" s="56" t="s">
        <v>23</v>
      </c>
      <c r="I138" s="91">
        <f>N139*0.996</f>
        <v>0</v>
      </c>
      <c r="J138" s="57" t="s">
        <v>24</v>
      </c>
      <c r="K138" s="93">
        <f>N141*1.005</f>
        <v>0</v>
      </c>
      <c r="M138" s="39"/>
      <c r="N138" s="90" t="s">
        <v>18</v>
      </c>
      <c r="O138" s="98"/>
    </row>
    <row r="139" spans="2:15" ht="15.75" thickBot="1">
      <c r="B139" s="137"/>
      <c r="C139" s="138"/>
      <c r="D139" s="55">
        <f>IF(D142&lt;380, 1.15*D142, D142)</f>
        <v>0</v>
      </c>
      <c r="E139" s="88"/>
      <c r="F139" s="56" t="s">
        <v>25</v>
      </c>
      <c r="G139" s="94">
        <f>N137*1.001</f>
        <v>0</v>
      </c>
      <c r="H139" s="56" t="s">
        <v>26</v>
      </c>
      <c r="I139" s="91">
        <f>N139*0.999</f>
        <v>0</v>
      </c>
      <c r="J139" s="57" t="s">
        <v>27</v>
      </c>
      <c r="K139" s="93">
        <f>N141*1.002</f>
        <v>0</v>
      </c>
      <c r="M139" s="39"/>
      <c r="N139" s="95"/>
      <c r="O139" s="99"/>
    </row>
    <row r="140" spans="2:15">
      <c r="B140" s="137"/>
      <c r="C140" s="138"/>
      <c r="D140" s="55">
        <f>IF(D142&lt;380, 0.9*D142, D142)</f>
        <v>0</v>
      </c>
      <c r="E140" s="88"/>
      <c r="F140" s="56" t="s">
        <v>28</v>
      </c>
      <c r="G140" s="94">
        <f>N137*0.998</f>
        <v>0</v>
      </c>
      <c r="H140" s="56" t="s">
        <v>29</v>
      </c>
      <c r="I140" s="91">
        <f>N139*0.995</f>
        <v>0</v>
      </c>
      <c r="J140" s="57" t="s">
        <v>30</v>
      </c>
      <c r="K140" s="93">
        <f>N141*1.003</f>
        <v>0</v>
      </c>
      <c r="M140" s="39"/>
      <c r="N140" s="90" t="s">
        <v>20</v>
      </c>
      <c r="O140" s="98"/>
    </row>
    <row r="141" spans="2:15" ht="15.75" thickBot="1">
      <c r="B141" s="137"/>
      <c r="C141" s="138"/>
      <c r="D141" s="49" t="s">
        <v>31</v>
      </c>
      <c r="E141" s="60"/>
      <c r="F141" s="61" t="s">
        <v>32</v>
      </c>
      <c r="G141" s="79">
        <f>10*LOG10((1/3)*(10^(0.1*G138)+10^(0.1*G139)+10^(0.1*G140)))</f>
        <v>0</v>
      </c>
      <c r="H141" s="61" t="s">
        <v>33</v>
      </c>
      <c r="I141" s="79">
        <f>10*LOG10((1/3)*(10^(0.1*I138)+10^(0.1*I139)+10^(0.1*I140)))</f>
        <v>0</v>
      </c>
      <c r="J141" s="63" t="s">
        <v>34</v>
      </c>
      <c r="K141" s="78">
        <f>(K138+K139+K140)/3</f>
        <v>0</v>
      </c>
      <c r="M141" s="39"/>
      <c r="N141" s="95"/>
      <c r="O141" s="99"/>
    </row>
    <row r="142" spans="2:15" ht="15.75" thickTop="1">
      <c r="B142" s="137"/>
      <c r="C142" s="138"/>
      <c r="D142" s="25"/>
      <c r="E142" s="60"/>
      <c r="F142" s="65"/>
      <c r="G142" s="66"/>
      <c r="H142" s="65"/>
      <c r="I142" s="66"/>
      <c r="J142" s="65"/>
      <c r="K142" s="66"/>
      <c r="M142" s="39"/>
      <c r="N142" s="96"/>
      <c r="O142" s="40"/>
    </row>
    <row r="143" spans="2:15">
      <c r="B143" s="137"/>
      <c r="C143" s="138"/>
      <c r="D143" s="67" t="s">
        <v>36</v>
      </c>
      <c r="E143" s="60"/>
      <c r="F143" s="65"/>
      <c r="G143" s="66"/>
      <c r="H143" s="65"/>
      <c r="I143" s="66"/>
      <c r="J143" s="65"/>
      <c r="K143" s="66"/>
      <c r="M143" s="39"/>
      <c r="N143" s="96"/>
      <c r="O143" s="40"/>
    </row>
    <row r="144" spans="2:15" ht="15.75" thickBot="1">
      <c r="B144" s="139"/>
      <c r="C144" s="140"/>
      <c r="D144" s="68">
        <f>D142/60</f>
        <v>0</v>
      </c>
      <c r="E144" s="60"/>
      <c r="F144" s="69"/>
      <c r="G144" s="70"/>
      <c r="H144" s="70"/>
      <c r="I144" s="70"/>
      <c r="J144" s="71"/>
      <c r="K144" s="71"/>
      <c r="M144" s="39"/>
      <c r="N144" s="96"/>
      <c r="O144" s="40"/>
    </row>
    <row r="145" spans="2:15" ht="15.75" thickTop="1">
      <c r="M145" s="39"/>
      <c r="N145" s="96"/>
      <c r="O145" s="40"/>
    </row>
    <row r="146" spans="2:15" ht="15.75" thickBot="1">
      <c r="M146" s="39"/>
      <c r="N146" s="96"/>
      <c r="O146" s="40"/>
    </row>
    <row r="147" spans="2:15" ht="27" thickTop="1" thickBot="1">
      <c r="B147" s="33" t="s">
        <v>45</v>
      </c>
      <c r="C147" s="34" t="s">
        <v>1</v>
      </c>
      <c r="D147" s="102"/>
      <c r="E147" s="103"/>
      <c r="F147" s="103"/>
      <c r="G147" s="103"/>
      <c r="H147" s="103"/>
      <c r="I147" s="103"/>
      <c r="J147" s="103"/>
      <c r="K147" s="104"/>
      <c r="M147" s="39"/>
      <c r="N147" s="96"/>
      <c r="O147" s="40"/>
    </row>
    <row r="148" spans="2:15" ht="17.100000000000001" customHeight="1" thickTop="1">
      <c r="B148" s="105" t="s">
        <v>2</v>
      </c>
      <c r="C148" s="38" t="s">
        <v>3</v>
      </c>
      <c r="D148" s="116" t="s">
        <v>4</v>
      </c>
      <c r="E148" s="117"/>
      <c r="F148" s="117"/>
      <c r="G148" s="117"/>
      <c r="H148" s="117"/>
      <c r="I148" s="117"/>
      <c r="J148" s="117"/>
      <c r="K148" s="118"/>
      <c r="M148" s="39"/>
      <c r="N148" s="96"/>
      <c r="O148" s="40"/>
    </row>
    <row r="149" spans="2:15" ht="16.149999999999999" customHeight="1">
      <c r="B149" s="106"/>
      <c r="C149" s="41" t="s">
        <v>5</v>
      </c>
      <c r="D149" s="119" t="s">
        <v>4</v>
      </c>
      <c r="E149" s="120"/>
      <c r="F149" s="120"/>
      <c r="G149" s="120"/>
      <c r="H149" s="120"/>
      <c r="I149" s="120"/>
      <c r="J149" s="120"/>
      <c r="K149" s="121"/>
      <c r="M149" s="39"/>
      <c r="N149" s="96"/>
      <c r="O149" s="40"/>
    </row>
    <row r="150" spans="2:15" ht="17.100000000000001" customHeight="1" thickBot="1">
      <c r="B150" s="107"/>
      <c r="C150" s="43" t="s">
        <v>7</v>
      </c>
      <c r="D150" s="112" t="s">
        <v>4</v>
      </c>
      <c r="E150" s="113"/>
      <c r="F150" s="113"/>
      <c r="G150" s="113"/>
      <c r="H150" s="113"/>
      <c r="I150" s="113"/>
      <c r="J150" s="113"/>
      <c r="K150" s="114"/>
      <c r="M150" s="39"/>
      <c r="N150" s="96"/>
      <c r="O150" s="40"/>
    </row>
    <row r="151" spans="2:15" ht="16.149999999999999" thickTop="1" thickBot="1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M151" s="39"/>
      <c r="N151" s="96"/>
      <c r="O151" s="40"/>
    </row>
    <row r="152" spans="2:15" ht="15.75" thickTop="1">
      <c r="B152" s="128" t="s">
        <v>11</v>
      </c>
      <c r="C152" s="129"/>
      <c r="D152" s="47" t="s">
        <v>12</v>
      </c>
      <c r="E152" s="88"/>
      <c r="F152" s="130" t="s">
        <v>13</v>
      </c>
      <c r="G152" s="131"/>
      <c r="H152" s="131"/>
      <c r="I152" s="131"/>
      <c r="J152" s="131"/>
      <c r="K152" s="132"/>
      <c r="M152" s="39"/>
      <c r="N152" s="90" t="s">
        <v>14</v>
      </c>
      <c r="O152" s="98"/>
    </row>
    <row r="153" spans="2:15" ht="15.75" thickBot="1">
      <c r="B153" s="133" t="s">
        <v>15</v>
      </c>
      <c r="C153" s="134"/>
      <c r="D153" s="49" t="s">
        <v>16</v>
      </c>
      <c r="E153" s="88"/>
      <c r="F153" s="50" t="s">
        <v>14</v>
      </c>
      <c r="G153" s="52" t="s">
        <v>17</v>
      </c>
      <c r="H153" s="51" t="s">
        <v>18</v>
      </c>
      <c r="I153" s="51" t="s">
        <v>19</v>
      </c>
      <c r="J153" s="52" t="s">
        <v>20</v>
      </c>
      <c r="K153" s="77" t="s">
        <v>19</v>
      </c>
      <c r="M153" s="39"/>
      <c r="N153" s="95"/>
      <c r="O153" s="99"/>
    </row>
    <row r="154" spans="2:15">
      <c r="B154" s="135">
        <f>B106</f>
        <v>0</v>
      </c>
      <c r="C154" s="136"/>
      <c r="D154" s="55">
        <f>IF(D158&lt;380, 1.1*D158, D158)</f>
        <v>0</v>
      </c>
      <c r="E154" s="88"/>
      <c r="F154" s="56" t="s">
        <v>22</v>
      </c>
      <c r="G154" s="94">
        <f>N153*1.002</f>
        <v>0</v>
      </c>
      <c r="H154" s="56" t="s">
        <v>23</v>
      </c>
      <c r="I154" s="91">
        <f>N155*0.998</f>
        <v>0</v>
      </c>
      <c r="J154" s="57" t="s">
        <v>24</v>
      </c>
      <c r="K154" s="93">
        <f>N157*1.004</f>
        <v>0</v>
      </c>
      <c r="M154" s="39"/>
      <c r="N154" s="90" t="s">
        <v>18</v>
      </c>
      <c r="O154" s="98"/>
    </row>
    <row r="155" spans="2:15" ht="15.75" thickBot="1">
      <c r="B155" s="137"/>
      <c r="C155" s="138"/>
      <c r="D155" s="55">
        <f>IF(D158&lt;380, 0.85*D158, D158)</f>
        <v>0</v>
      </c>
      <c r="E155" s="88"/>
      <c r="F155" s="56" t="s">
        <v>25</v>
      </c>
      <c r="G155" s="94">
        <f>N153*0.997</f>
        <v>0</v>
      </c>
      <c r="H155" s="56" t="s">
        <v>26</v>
      </c>
      <c r="I155" s="91">
        <f>N155*0.996</f>
        <v>0</v>
      </c>
      <c r="J155" s="57" t="s">
        <v>27</v>
      </c>
      <c r="K155" s="93">
        <f>N157*1.003</f>
        <v>0</v>
      </c>
      <c r="M155" s="39"/>
      <c r="N155" s="95"/>
      <c r="O155" s="99"/>
    </row>
    <row r="156" spans="2:15">
      <c r="B156" s="137"/>
      <c r="C156" s="138"/>
      <c r="D156" s="55">
        <f>IF(D158&lt;380, 1.05*D158, D158)</f>
        <v>0</v>
      </c>
      <c r="E156" s="88"/>
      <c r="F156" s="56" t="s">
        <v>28</v>
      </c>
      <c r="G156" s="94">
        <f>N153*1.001</f>
        <v>0</v>
      </c>
      <c r="H156" s="56" t="s">
        <v>29</v>
      </c>
      <c r="I156" s="91">
        <f>N155*0.999</f>
        <v>0</v>
      </c>
      <c r="J156" s="57" t="s">
        <v>30</v>
      </c>
      <c r="K156" s="93">
        <f>N157*1.002</f>
        <v>0</v>
      </c>
      <c r="M156" s="39"/>
      <c r="N156" s="90" t="s">
        <v>20</v>
      </c>
      <c r="O156" s="98"/>
    </row>
    <row r="157" spans="2:15" ht="15.75" thickBot="1">
      <c r="B157" s="137"/>
      <c r="C157" s="138"/>
      <c r="D157" s="49" t="s">
        <v>31</v>
      </c>
      <c r="E157" s="60"/>
      <c r="F157" s="61" t="s">
        <v>32</v>
      </c>
      <c r="G157" s="79">
        <f>10*LOG10((1/3)*(10^(0.1*G154)+10^(0.1*G155)+10^(0.1*G156)))</f>
        <v>0</v>
      </c>
      <c r="H157" s="61" t="s">
        <v>33</v>
      </c>
      <c r="I157" s="79">
        <f>10*LOG10((1/3)*(10^(0.1*I154)+10^(0.1*I155)+10^(0.1*I156)))</f>
        <v>0</v>
      </c>
      <c r="J157" s="63" t="s">
        <v>34</v>
      </c>
      <c r="K157" s="78">
        <f>(K154+K155+K156)/3</f>
        <v>0</v>
      </c>
      <c r="M157" s="39"/>
      <c r="N157" s="95"/>
      <c r="O157" s="99"/>
    </row>
    <row r="158" spans="2:15" ht="15.75" thickTop="1">
      <c r="B158" s="137"/>
      <c r="C158" s="138"/>
      <c r="D158" s="25"/>
      <c r="E158" s="60"/>
      <c r="F158" s="65"/>
      <c r="G158" s="66"/>
      <c r="H158" s="65"/>
      <c r="I158" s="66"/>
      <c r="J158" s="65"/>
      <c r="K158" s="66"/>
      <c r="M158" s="39"/>
      <c r="N158" s="96"/>
      <c r="O158" s="40"/>
    </row>
    <row r="159" spans="2:15">
      <c r="B159" s="137"/>
      <c r="C159" s="138"/>
      <c r="D159" s="67" t="s">
        <v>36</v>
      </c>
      <c r="E159" s="60"/>
      <c r="F159" s="65"/>
      <c r="G159" s="66"/>
      <c r="H159" s="65"/>
      <c r="I159" s="66"/>
      <c r="J159" s="65"/>
      <c r="K159" s="66"/>
      <c r="M159" s="39"/>
      <c r="N159" s="96"/>
      <c r="O159" s="40"/>
    </row>
    <row r="160" spans="2:15" ht="15.75" thickBot="1">
      <c r="B160" s="139"/>
      <c r="C160" s="140"/>
      <c r="D160" s="68">
        <f>D158/60</f>
        <v>0</v>
      </c>
      <c r="E160" s="60"/>
      <c r="F160" s="69"/>
      <c r="G160" s="70"/>
      <c r="H160" s="70"/>
      <c r="I160" s="70"/>
      <c r="J160" s="71"/>
      <c r="K160" s="71"/>
      <c r="M160" s="39"/>
      <c r="N160" s="96"/>
      <c r="O160" s="40"/>
    </row>
    <row r="161" spans="2:15" ht="15.75" thickTop="1">
      <c r="M161" s="39"/>
      <c r="N161" s="96"/>
      <c r="O161" s="40"/>
    </row>
    <row r="162" spans="2:15" ht="15.75" thickBot="1">
      <c r="M162" s="39"/>
      <c r="N162" s="96"/>
      <c r="O162" s="40"/>
    </row>
    <row r="163" spans="2:15" ht="27" thickTop="1" thickBot="1">
      <c r="B163" s="33" t="s">
        <v>46</v>
      </c>
      <c r="C163" s="34" t="s">
        <v>1</v>
      </c>
      <c r="D163" s="102"/>
      <c r="E163" s="103"/>
      <c r="F163" s="103"/>
      <c r="G163" s="103"/>
      <c r="H163" s="103"/>
      <c r="I163" s="103"/>
      <c r="J163" s="103"/>
      <c r="K163" s="104"/>
      <c r="M163" s="39"/>
      <c r="N163" s="96"/>
      <c r="O163" s="40"/>
    </row>
    <row r="164" spans="2:15" ht="17.100000000000001" customHeight="1" thickTop="1">
      <c r="B164" s="105" t="s">
        <v>2</v>
      </c>
      <c r="C164" s="38" t="s">
        <v>3</v>
      </c>
      <c r="D164" s="116" t="s">
        <v>4</v>
      </c>
      <c r="E164" s="117"/>
      <c r="F164" s="117"/>
      <c r="G164" s="117"/>
      <c r="H164" s="117"/>
      <c r="I164" s="117"/>
      <c r="J164" s="117"/>
      <c r="K164" s="118"/>
      <c r="M164" s="39"/>
      <c r="N164" s="96"/>
      <c r="O164" s="40"/>
    </row>
    <row r="165" spans="2:15" ht="16.149999999999999" customHeight="1">
      <c r="B165" s="106"/>
      <c r="C165" s="41" t="s">
        <v>5</v>
      </c>
      <c r="D165" s="119" t="s">
        <v>4</v>
      </c>
      <c r="E165" s="120"/>
      <c r="F165" s="120"/>
      <c r="G165" s="120"/>
      <c r="H165" s="120"/>
      <c r="I165" s="120"/>
      <c r="J165" s="120"/>
      <c r="K165" s="121"/>
      <c r="M165" s="39"/>
      <c r="N165" s="96"/>
      <c r="O165" s="40"/>
    </row>
    <row r="166" spans="2:15" ht="17.100000000000001" customHeight="1" thickBot="1">
      <c r="B166" s="107"/>
      <c r="C166" s="43" t="s">
        <v>7</v>
      </c>
      <c r="D166" s="112" t="s">
        <v>4</v>
      </c>
      <c r="E166" s="113"/>
      <c r="F166" s="113"/>
      <c r="G166" s="113"/>
      <c r="H166" s="113"/>
      <c r="I166" s="113"/>
      <c r="J166" s="113"/>
      <c r="K166" s="114"/>
      <c r="M166" s="39"/>
      <c r="N166" s="96"/>
      <c r="O166" s="40"/>
    </row>
    <row r="167" spans="2:15" ht="16.149999999999999" thickTop="1" thickBot="1"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M167" s="39"/>
      <c r="N167" s="96"/>
      <c r="O167" s="40"/>
    </row>
    <row r="168" spans="2:15" ht="15.75" thickTop="1">
      <c r="B168" s="128" t="s">
        <v>11</v>
      </c>
      <c r="C168" s="129"/>
      <c r="D168" s="47" t="s">
        <v>12</v>
      </c>
      <c r="E168" s="88"/>
      <c r="F168" s="130" t="s">
        <v>13</v>
      </c>
      <c r="G168" s="131"/>
      <c r="H168" s="131"/>
      <c r="I168" s="131"/>
      <c r="J168" s="131"/>
      <c r="K168" s="132"/>
      <c r="M168" s="39"/>
      <c r="N168" s="90" t="s">
        <v>14</v>
      </c>
      <c r="O168" s="98"/>
    </row>
    <row r="169" spans="2:15" ht="15.75" thickBot="1">
      <c r="B169" s="133" t="s">
        <v>15</v>
      </c>
      <c r="C169" s="134"/>
      <c r="D169" s="49" t="s">
        <v>16</v>
      </c>
      <c r="E169" s="88"/>
      <c r="F169" s="50" t="s">
        <v>14</v>
      </c>
      <c r="G169" s="52" t="s">
        <v>17</v>
      </c>
      <c r="H169" s="51" t="s">
        <v>18</v>
      </c>
      <c r="I169" s="51" t="s">
        <v>19</v>
      </c>
      <c r="J169" s="52" t="s">
        <v>20</v>
      </c>
      <c r="K169" s="77" t="s">
        <v>19</v>
      </c>
      <c r="M169" s="39"/>
      <c r="N169" s="95"/>
      <c r="O169" s="99"/>
    </row>
    <row r="170" spans="2:15">
      <c r="B170" s="135">
        <f>B122</f>
        <v>0</v>
      </c>
      <c r="C170" s="136"/>
      <c r="D170" s="55">
        <f>IF(D174&lt;380, 1.15*D174, D174)</f>
        <v>0</v>
      </c>
      <c r="E170" s="88"/>
      <c r="F170" s="56" t="s">
        <v>22</v>
      </c>
      <c r="G170" s="94">
        <f>N169*1.003</f>
        <v>0</v>
      </c>
      <c r="H170" s="56" t="s">
        <v>23</v>
      </c>
      <c r="I170" s="91">
        <f>N171*0.995</f>
        <v>0</v>
      </c>
      <c r="J170" s="57" t="s">
        <v>24</v>
      </c>
      <c r="K170" s="93">
        <f>N173*1.005</f>
        <v>0</v>
      </c>
      <c r="M170" s="39"/>
      <c r="N170" s="90" t="s">
        <v>18</v>
      </c>
      <c r="O170" s="98"/>
    </row>
    <row r="171" spans="2:15" ht="15.75" thickBot="1">
      <c r="B171" s="137"/>
      <c r="C171" s="138"/>
      <c r="D171" s="55">
        <f>IF(D174&lt;380, 0.95*D174, D174)</f>
        <v>0</v>
      </c>
      <c r="E171" s="88"/>
      <c r="F171" s="56" t="s">
        <v>25</v>
      </c>
      <c r="G171" s="94">
        <f>N169*0.999</f>
        <v>0</v>
      </c>
      <c r="H171" s="56" t="s">
        <v>26</v>
      </c>
      <c r="I171" s="91">
        <f>N171*0.997</f>
        <v>0</v>
      </c>
      <c r="J171" s="57" t="s">
        <v>27</v>
      </c>
      <c r="K171" s="93">
        <f>N173*1.003</f>
        <v>0</v>
      </c>
      <c r="M171" s="39"/>
      <c r="N171" s="95"/>
      <c r="O171" s="99"/>
    </row>
    <row r="172" spans="2:15">
      <c r="B172" s="137"/>
      <c r="C172" s="138"/>
      <c r="D172" s="55">
        <f>IF(D174&lt;380, 0.9*D174, D174)</f>
        <v>0</v>
      </c>
      <c r="E172" s="88"/>
      <c r="F172" s="56" t="s">
        <v>28</v>
      </c>
      <c r="G172" s="94">
        <f>N169*1.004</f>
        <v>0</v>
      </c>
      <c r="H172" s="56" t="s">
        <v>29</v>
      </c>
      <c r="I172" s="91">
        <f>N171*1.001</f>
        <v>0</v>
      </c>
      <c r="J172" s="57" t="s">
        <v>30</v>
      </c>
      <c r="K172" s="93">
        <f>N173*1.001</f>
        <v>0</v>
      </c>
      <c r="M172" s="39"/>
      <c r="N172" s="90" t="s">
        <v>20</v>
      </c>
      <c r="O172" s="98"/>
    </row>
    <row r="173" spans="2:15" ht="15.75" thickBot="1">
      <c r="B173" s="137"/>
      <c r="C173" s="138"/>
      <c r="D173" s="49" t="s">
        <v>31</v>
      </c>
      <c r="E173" s="60"/>
      <c r="F173" s="61" t="s">
        <v>32</v>
      </c>
      <c r="G173" s="79">
        <f>10*LOG10((1/3)*(10^(0.1*G170)+10^(0.1*G171)+10^(0.1*G172)))</f>
        <v>0</v>
      </c>
      <c r="H173" s="61" t="s">
        <v>33</v>
      </c>
      <c r="I173" s="79">
        <f>10*LOG10((1/3)*(10^(0.1*I170)+10^(0.1*I171)+10^(0.1*I172)))</f>
        <v>0</v>
      </c>
      <c r="J173" s="63" t="s">
        <v>34</v>
      </c>
      <c r="K173" s="78">
        <f>(K170+K171+K172)/3</f>
        <v>0</v>
      </c>
      <c r="M173" s="39"/>
      <c r="N173" s="95"/>
      <c r="O173" s="99"/>
    </row>
    <row r="174" spans="2:15" ht="15.75" thickTop="1">
      <c r="B174" s="137"/>
      <c r="C174" s="138"/>
      <c r="D174" s="25"/>
      <c r="E174" s="60"/>
      <c r="F174" s="65"/>
      <c r="G174" s="66"/>
      <c r="H174" s="65"/>
      <c r="I174" s="66"/>
      <c r="J174" s="65"/>
      <c r="K174" s="66"/>
      <c r="M174" s="39"/>
      <c r="N174" s="96"/>
      <c r="O174" s="40"/>
    </row>
    <row r="175" spans="2:15">
      <c r="B175" s="137"/>
      <c r="C175" s="138"/>
      <c r="D175" s="67" t="s">
        <v>36</v>
      </c>
      <c r="E175" s="60"/>
      <c r="F175" s="65"/>
      <c r="G175" s="66"/>
      <c r="H175" s="65"/>
      <c r="I175" s="66"/>
      <c r="J175" s="65"/>
      <c r="K175" s="66"/>
      <c r="M175" s="39"/>
      <c r="N175" s="96"/>
      <c r="O175" s="40"/>
    </row>
    <row r="176" spans="2:15" ht="15.75" thickBot="1">
      <c r="B176" s="139"/>
      <c r="C176" s="140"/>
      <c r="D176" s="68">
        <f>D174/60</f>
        <v>0</v>
      </c>
      <c r="E176" s="60"/>
      <c r="F176" s="69"/>
      <c r="G176" s="70"/>
      <c r="H176" s="70"/>
      <c r="I176" s="70"/>
      <c r="J176" s="71"/>
      <c r="K176" s="71"/>
      <c r="M176" s="39"/>
      <c r="N176" s="96"/>
      <c r="O176" s="40"/>
    </row>
    <row r="177" spans="2:15" ht="15.75" thickTop="1">
      <c r="M177" s="39"/>
      <c r="N177" s="96"/>
      <c r="O177" s="40"/>
    </row>
    <row r="178" spans="2:15" ht="15.75" thickBot="1">
      <c r="M178" s="39"/>
      <c r="N178" s="96"/>
      <c r="O178" s="40"/>
    </row>
    <row r="179" spans="2:15" ht="27" thickTop="1" thickBot="1">
      <c r="B179" s="33" t="s">
        <v>47</v>
      </c>
      <c r="C179" s="34" t="s">
        <v>1</v>
      </c>
      <c r="D179" s="102"/>
      <c r="E179" s="103"/>
      <c r="F179" s="103"/>
      <c r="G179" s="103"/>
      <c r="H179" s="103"/>
      <c r="I179" s="103"/>
      <c r="J179" s="103"/>
      <c r="K179" s="104"/>
      <c r="M179" s="39"/>
      <c r="N179" s="96"/>
      <c r="O179" s="40"/>
    </row>
    <row r="180" spans="2:15" ht="17.100000000000001" customHeight="1" thickTop="1">
      <c r="B180" s="105" t="s">
        <v>2</v>
      </c>
      <c r="C180" s="38" t="s">
        <v>3</v>
      </c>
      <c r="D180" s="116" t="s">
        <v>4</v>
      </c>
      <c r="E180" s="117"/>
      <c r="F180" s="117"/>
      <c r="G180" s="117"/>
      <c r="H180" s="117"/>
      <c r="I180" s="117"/>
      <c r="J180" s="117"/>
      <c r="K180" s="118"/>
      <c r="M180" s="39"/>
      <c r="N180" s="96"/>
      <c r="O180" s="40"/>
    </row>
    <row r="181" spans="2:15" ht="16.149999999999999" customHeight="1">
      <c r="B181" s="106"/>
      <c r="C181" s="41" t="s">
        <v>5</v>
      </c>
      <c r="D181" s="119" t="s">
        <v>4</v>
      </c>
      <c r="E181" s="120"/>
      <c r="F181" s="120"/>
      <c r="G181" s="120"/>
      <c r="H181" s="120"/>
      <c r="I181" s="120"/>
      <c r="J181" s="120"/>
      <c r="K181" s="121"/>
      <c r="M181" s="39"/>
      <c r="N181" s="96"/>
      <c r="O181" s="40"/>
    </row>
    <row r="182" spans="2:15" ht="17.100000000000001" customHeight="1" thickBot="1">
      <c r="B182" s="107"/>
      <c r="C182" s="43" t="s">
        <v>7</v>
      </c>
      <c r="D182" s="112" t="s">
        <v>4</v>
      </c>
      <c r="E182" s="113"/>
      <c r="F182" s="113"/>
      <c r="G182" s="113"/>
      <c r="H182" s="113"/>
      <c r="I182" s="113"/>
      <c r="J182" s="113"/>
      <c r="K182" s="114"/>
      <c r="M182" s="39"/>
      <c r="N182" s="96"/>
      <c r="O182" s="40"/>
    </row>
    <row r="183" spans="2:15" ht="16.149999999999999" thickTop="1" thickBot="1"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M183" s="39"/>
      <c r="N183" s="96"/>
      <c r="O183" s="40"/>
    </row>
    <row r="184" spans="2:15" ht="15.75" thickTop="1">
      <c r="B184" s="128" t="s">
        <v>11</v>
      </c>
      <c r="C184" s="129"/>
      <c r="D184" s="47" t="s">
        <v>12</v>
      </c>
      <c r="E184" s="88"/>
      <c r="F184" s="130" t="s">
        <v>13</v>
      </c>
      <c r="G184" s="131"/>
      <c r="H184" s="131"/>
      <c r="I184" s="131"/>
      <c r="J184" s="131"/>
      <c r="K184" s="132"/>
      <c r="M184" s="39"/>
      <c r="N184" s="90" t="s">
        <v>14</v>
      </c>
      <c r="O184" s="98"/>
    </row>
    <row r="185" spans="2:15" ht="15.75" thickBot="1">
      <c r="B185" s="133" t="s">
        <v>15</v>
      </c>
      <c r="C185" s="134"/>
      <c r="D185" s="49" t="s">
        <v>16</v>
      </c>
      <c r="E185" s="88"/>
      <c r="F185" s="50" t="s">
        <v>14</v>
      </c>
      <c r="G185" s="52" t="s">
        <v>17</v>
      </c>
      <c r="H185" s="51" t="s">
        <v>18</v>
      </c>
      <c r="I185" s="51" t="s">
        <v>19</v>
      </c>
      <c r="J185" s="52" t="s">
        <v>20</v>
      </c>
      <c r="K185" s="77" t="s">
        <v>19</v>
      </c>
      <c r="M185" s="39"/>
      <c r="N185" s="95"/>
      <c r="O185" s="99"/>
    </row>
    <row r="186" spans="2:15">
      <c r="B186" s="135">
        <f>B170</f>
        <v>0</v>
      </c>
      <c r="C186" s="136"/>
      <c r="D186" s="55">
        <f>IF(D190&lt;380, 0.9*D190, D190)</f>
        <v>0</v>
      </c>
      <c r="E186" s="88"/>
      <c r="F186" s="56" t="s">
        <v>22</v>
      </c>
      <c r="G186" s="94">
        <f>N185*1.003</f>
        <v>0</v>
      </c>
      <c r="H186" s="56" t="s">
        <v>23</v>
      </c>
      <c r="I186" s="91">
        <f>N187*0.998</f>
        <v>0</v>
      </c>
      <c r="J186" s="57" t="s">
        <v>24</v>
      </c>
      <c r="K186" s="93">
        <f>N189*1.004</f>
        <v>0</v>
      </c>
      <c r="M186" s="39"/>
      <c r="N186" s="90" t="s">
        <v>18</v>
      </c>
      <c r="O186" s="98"/>
    </row>
    <row r="187" spans="2:15" ht="15.75" thickBot="1">
      <c r="B187" s="137"/>
      <c r="C187" s="138"/>
      <c r="D187" s="55">
        <f>IF(D190&lt;380, 0.85*D190, D190)</f>
        <v>0</v>
      </c>
      <c r="E187" s="88"/>
      <c r="F187" s="56" t="s">
        <v>25</v>
      </c>
      <c r="G187" s="94">
        <f>N185*0.996</f>
        <v>0</v>
      </c>
      <c r="H187" s="56" t="s">
        <v>26</v>
      </c>
      <c r="I187" s="91">
        <f>N187*0.999</f>
        <v>0</v>
      </c>
      <c r="J187" s="57" t="s">
        <v>27</v>
      </c>
      <c r="K187" s="93">
        <f>N189*1.005</f>
        <v>0</v>
      </c>
      <c r="M187" s="39"/>
      <c r="N187" s="95"/>
      <c r="O187" s="99"/>
    </row>
    <row r="188" spans="2:15">
      <c r="B188" s="137"/>
      <c r="C188" s="138"/>
      <c r="D188" s="55">
        <f>IF(D190&lt;380, 1.25*D190, D190)</f>
        <v>0</v>
      </c>
      <c r="E188" s="88"/>
      <c r="F188" s="56" t="s">
        <v>28</v>
      </c>
      <c r="G188" s="94">
        <f>N185*1.001</f>
        <v>0</v>
      </c>
      <c r="H188" s="56" t="s">
        <v>29</v>
      </c>
      <c r="I188" s="91">
        <f>N187*1.002</f>
        <v>0</v>
      </c>
      <c r="J188" s="57" t="s">
        <v>30</v>
      </c>
      <c r="K188" s="93">
        <f>N189*1.003</f>
        <v>0</v>
      </c>
      <c r="M188" s="39"/>
      <c r="N188" s="90" t="s">
        <v>20</v>
      </c>
      <c r="O188" s="98"/>
    </row>
    <row r="189" spans="2:15" ht="15.75" thickBot="1">
      <c r="B189" s="137"/>
      <c r="C189" s="138"/>
      <c r="D189" s="49" t="s">
        <v>31</v>
      </c>
      <c r="E189" s="60"/>
      <c r="F189" s="61" t="s">
        <v>32</v>
      </c>
      <c r="G189" s="79">
        <f>10*LOG10((1/3)*(10^(0.1*G186)+10^(0.1*G187)+10^(0.1*G188)))</f>
        <v>0</v>
      </c>
      <c r="H189" s="61" t="s">
        <v>33</v>
      </c>
      <c r="I189" s="79">
        <f>10*LOG10((1/3)*(10^(0.1*I186)+10^(0.1*I187)+10^(0.1*I188)))</f>
        <v>0</v>
      </c>
      <c r="J189" s="63" t="s">
        <v>34</v>
      </c>
      <c r="K189" s="78">
        <f>(K186+K187+K188)/3</f>
        <v>0</v>
      </c>
      <c r="M189" s="39"/>
      <c r="N189" s="95"/>
      <c r="O189" s="99"/>
    </row>
    <row r="190" spans="2:15" ht="15.75" thickTop="1">
      <c r="B190" s="137"/>
      <c r="C190" s="138"/>
      <c r="D190" s="25"/>
      <c r="E190" s="60"/>
      <c r="F190" s="65"/>
      <c r="G190" s="66"/>
      <c r="H190" s="65"/>
      <c r="I190" s="66"/>
      <c r="J190" s="65"/>
      <c r="K190" s="66"/>
      <c r="M190" s="39"/>
      <c r="N190" s="96"/>
      <c r="O190" s="40"/>
    </row>
    <row r="191" spans="2:15">
      <c r="B191" s="137"/>
      <c r="C191" s="138"/>
      <c r="D191" s="67" t="s">
        <v>36</v>
      </c>
      <c r="E191" s="60"/>
      <c r="F191" s="65"/>
      <c r="G191" s="66"/>
      <c r="H191" s="65"/>
      <c r="I191" s="66"/>
      <c r="J191" s="65"/>
      <c r="K191" s="66"/>
      <c r="M191" s="39"/>
      <c r="N191" s="96"/>
      <c r="O191" s="40"/>
    </row>
    <row r="192" spans="2:15" ht="15.75" thickBot="1">
      <c r="B192" s="139"/>
      <c r="C192" s="140"/>
      <c r="D192" s="68">
        <f>D190/60</f>
        <v>0</v>
      </c>
      <c r="E192" s="60"/>
      <c r="F192" s="69"/>
      <c r="G192" s="70"/>
      <c r="H192" s="70"/>
      <c r="I192" s="70"/>
      <c r="J192" s="71"/>
      <c r="K192" s="71"/>
      <c r="M192" s="39"/>
      <c r="N192" s="96"/>
      <c r="O192" s="40"/>
    </row>
    <row r="193" spans="2:15" ht="15.75" thickTop="1">
      <c r="M193" s="39"/>
      <c r="N193" s="96"/>
      <c r="O193" s="40"/>
    </row>
    <row r="194" spans="2:15" ht="15.75" thickBot="1">
      <c r="M194" s="39"/>
      <c r="N194" s="96"/>
      <c r="O194" s="40"/>
    </row>
    <row r="195" spans="2:15" ht="27" thickTop="1" thickBot="1">
      <c r="B195" s="33" t="s">
        <v>48</v>
      </c>
      <c r="C195" s="34" t="s">
        <v>1</v>
      </c>
      <c r="D195" s="102"/>
      <c r="E195" s="103"/>
      <c r="F195" s="103"/>
      <c r="G195" s="103"/>
      <c r="H195" s="103"/>
      <c r="I195" s="103"/>
      <c r="J195" s="103"/>
      <c r="K195" s="104"/>
      <c r="M195" s="39"/>
      <c r="N195" s="96"/>
      <c r="O195" s="40"/>
    </row>
    <row r="196" spans="2:15" ht="17.100000000000001" customHeight="1" thickTop="1">
      <c r="B196" s="105" t="s">
        <v>2</v>
      </c>
      <c r="C196" s="38" t="s">
        <v>3</v>
      </c>
      <c r="D196" s="116" t="s">
        <v>4</v>
      </c>
      <c r="E196" s="117"/>
      <c r="F196" s="117"/>
      <c r="G196" s="117"/>
      <c r="H196" s="117"/>
      <c r="I196" s="117"/>
      <c r="J196" s="117"/>
      <c r="K196" s="118"/>
      <c r="M196" s="39"/>
      <c r="N196" s="96"/>
      <c r="O196" s="40"/>
    </row>
    <row r="197" spans="2:15" ht="16.149999999999999" customHeight="1">
      <c r="B197" s="106"/>
      <c r="C197" s="41" t="s">
        <v>5</v>
      </c>
      <c r="D197" s="119" t="s">
        <v>4</v>
      </c>
      <c r="E197" s="120"/>
      <c r="F197" s="120"/>
      <c r="G197" s="120"/>
      <c r="H197" s="120"/>
      <c r="I197" s="120"/>
      <c r="J197" s="120"/>
      <c r="K197" s="121"/>
      <c r="M197" s="39"/>
      <c r="N197" s="96"/>
      <c r="O197" s="40"/>
    </row>
    <row r="198" spans="2:15" ht="17.100000000000001" customHeight="1" thickBot="1">
      <c r="B198" s="107"/>
      <c r="C198" s="43" t="s">
        <v>7</v>
      </c>
      <c r="D198" s="112" t="s">
        <v>4</v>
      </c>
      <c r="E198" s="113"/>
      <c r="F198" s="113"/>
      <c r="G198" s="113"/>
      <c r="H198" s="113"/>
      <c r="I198" s="113"/>
      <c r="J198" s="113"/>
      <c r="K198" s="114"/>
      <c r="M198" s="39"/>
      <c r="N198" s="96"/>
      <c r="O198" s="40"/>
    </row>
    <row r="199" spans="2:15" ht="16.149999999999999" thickTop="1" thickBot="1"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M199" s="39"/>
      <c r="N199" s="96"/>
      <c r="O199" s="40"/>
    </row>
    <row r="200" spans="2:15" ht="15.75" thickTop="1">
      <c r="B200" s="128" t="s">
        <v>11</v>
      </c>
      <c r="C200" s="129"/>
      <c r="D200" s="47" t="s">
        <v>12</v>
      </c>
      <c r="E200" s="88"/>
      <c r="F200" s="130" t="s">
        <v>13</v>
      </c>
      <c r="G200" s="131"/>
      <c r="H200" s="131"/>
      <c r="I200" s="131"/>
      <c r="J200" s="131"/>
      <c r="K200" s="132"/>
      <c r="M200" s="39"/>
      <c r="N200" s="90" t="s">
        <v>14</v>
      </c>
      <c r="O200" s="98"/>
    </row>
    <row r="201" spans="2:15" ht="15.75" thickBot="1">
      <c r="B201" s="133" t="s">
        <v>15</v>
      </c>
      <c r="C201" s="134"/>
      <c r="D201" s="49" t="s">
        <v>16</v>
      </c>
      <c r="E201" s="88"/>
      <c r="F201" s="50" t="s">
        <v>14</v>
      </c>
      <c r="G201" s="52" t="s">
        <v>17</v>
      </c>
      <c r="H201" s="51" t="s">
        <v>18</v>
      </c>
      <c r="I201" s="51" t="s">
        <v>19</v>
      </c>
      <c r="J201" s="52" t="s">
        <v>20</v>
      </c>
      <c r="K201" s="77" t="s">
        <v>19</v>
      </c>
      <c r="M201" s="39"/>
      <c r="N201" s="95"/>
      <c r="O201" s="99"/>
    </row>
    <row r="202" spans="2:15">
      <c r="B202" s="135">
        <f>B154</f>
        <v>0</v>
      </c>
      <c r="C202" s="136"/>
      <c r="D202" s="55">
        <f>IF(D206&lt;380, 1.05*D206, D206)</f>
        <v>0</v>
      </c>
      <c r="E202" s="88"/>
      <c r="F202" s="56" t="s">
        <v>22</v>
      </c>
      <c r="G202" s="94">
        <f>N201*0.996</f>
        <v>0</v>
      </c>
      <c r="H202" s="56" t="s">
        <v>23</v>
      </c>
      <c r="I202" s="91">
        <f>N203*1.003</f>
        <v>0</v>
      </c>
      <c r="J202" s="57" t="s">
        <v>24</v>
      </c>
      <c r="K202" s="93">
        <f>N205*1.003</f>
        <v>0</v>
      </c>
      <c r="M202" s="39"/>
      <c r="N202" s="90" t="s">
        <v>18</v>
      </c>
      <c r="O202" s="98"/>
    </row>
    <row r="203" spans="2:15" ht="15.75" thickBot="1">
      <c r="B203" s="137"/>
      <c r="C203" s="138"/>
      <c r="D203" s="55">
        <f>IF(D206&lt;380, 1.25*D206, D206)</f>
        <v>0</v>
      </c>
      <c r="E203" s="88"/>
      <c r="F203" s="56" t="s">
        <v>25</v>
      </c>
      <c r="G203" s="94">
        <f>N201*0.999</f>
        <v>0</v>
      </c>
      <c r="H203" s="56" t="s">
        <v>26</v>
      </c>
      <c r="I203" s="91">
        <f>N203*1.001</f>
        <v>0</v>
      </c>
      <c r="J203" s="57" t="s">
        <v>27</v>
      </c>
      <c r="K203" s="93">
        <f>N205*1.004</f>
        <v>0</v>
      </c>
      <c r="M203" s="39"/>
      <c r="N203" s="95"/>
      <c r="O203" s="99"/>
    </row>
    <row r="204" spans="2:15">
      <c r="B204" s="137"/>
      <c r="C204" s="138"/>
      <c r="D204" s="55">
        <f>IF(D206&lt;380, 0.7*D206, D206)</f>
        <v>0</v>
      </c>
      <c r="E204" s="88"/>
      <c r="F204" s="56" t="s">
        <v>28</v>
      </c>
      <c r="G204" s="94">
        <f>N201*0.995</f>
        <v>0</v>
      </c>
      <c r="H204" s="56" t="s">
        <v>29</v>
      </c>
      <c r="I204" s="91">
        <f>N203*0.997</f>
        <v>0</v>
      </c>
      <c r="J204" s="57" t="s">
        <v>30</v>
      </c>
      <c r="K204" s="93">
        <f>N205*1.002</f>
        <v>0</v>
      </c>
      <c r="M204" s="39"/>
      <c r="N204" s="90" t="s">
        <v>20</v>
      </c>
      <c r="O204" s="98"/>
    </row>
    <row r="205" spans="2:15" ht="15.75" thickBot="1">
      <c r="B205" s="137"/>
      <c r="C205" s="138"/>
      <c r="D205" s="49" t="s">
        <v>31</v>
      </c>
      <c r="E205" s="60"/>
      <c r="F205" s="61" t="s">
        <v>32</v>
      </c>
      <c r="G205" s="79">
        <f>10*LOG10((1/3)*(10^(0.1*G202)+10^(0.1*G203)+10^(0.1*G204)))</f>
        <v>0</v>
      </c>
      <c r="H205" s="61" t="s">
        <v>33</v>
      </c>
      <c r="I205" s="79">
        <f>10*LOG10((1/3)*(10^(0.1*I202)+10^(0.1*I203)+10^(0.1*I204)))</f>
        <v>0</v>
      </c>
      <c r="J205" s="63" t="s">
        <v>34</v>
      </c>
      <c r="K205" s="78">
        <f>(K202+K203+K204)/3</f>
        <v>0</v>
      </c>
      <c r="M205" s="39"/>
      <c r="N205" s="95"/>
      <c r="O205" s="99"/>
    </row>
    <row r="206" spans="2:15" ht="15.75" thickTop="1">
      <c r="B206" s="137"/>
      <c r="C206" s="138"/>
      <c r="D206" s="25"/>
      <c r="E206" s="60"/>
      <c r="F206" s="65"/>
      <c r="G206" s="66"/>
      <c r="H206" s="65"/>
      <c r="I206" s="66"/>
      <c r="J206" s="65"/>
      <c r="K206" s="66"/>
      <c r="M206" s="39"/>
      <c r="N206" s="96"/>
      <c r="O206" s="40"/>
    </row>
    <row r="207" spans="2:15">
      <c r="B207" s="137"/>
      <c r="C207" s="138"/>
      <c r="D207" s="67" t="s">
        <v>36</v>
      </c>
      <c r="E207" s="60"/>
      <c r="F207" s="65"/>
      <c r="G207" s="66"/>
      <c r="H207" s="65"/>
      <c r="I207" s="66"/>
      <c r="J207" s="65"/>
      <c r="K207" s="66"/>
      <c r="M207" s="39"/>
      <c r="N207" s="96"/>
      <c r="O207" s="40"/>
    </row>
    <row r="208" spans="2:15" ht="15.75" thickBot="1">
      <c r="B208" s="139"/>
      <c r="C208" s="140"/>
      <c r="D208" s="68">
        <f>D206/60</f>
        <v>0</v>
      </c>
      <c r="E208" s="60"/>
      <c r="F208" s="69"/>
      <c r="G208" s="70"/>
      <c r="H208" s="70"/>
      <c r="I208" s="70"/>
      <c r="J208" s="71"/>
      <c r="K208" s="71"/>
      <c r="M208" s="39"/>
      <c r="N208" s="96"/>
      <c r="O208" s="40"/>
    </row>
    <row r="209" spans="2:15" ht="15.75" thickTop="1">
      <c r="M209" s="39"/>
      <c r="N209" s="96"/>
      <c r="O209" s="40"/>
    </row>
    <row r="210" spans="2:15" ht="15.75" thickBot="1">
      <c r="M210" s="39"/>
      <c r="N210" s="96"/>
      <c r="O210" s="40"/>
    </row>
    <row r="211" spans="2:15" ht="27" thickTop="1" thickBot="1">
      <c r="B211" s="33" t="s">
        <v>49</v>
      </c>
      <c r="C211" s="34" t="s">
        <v>1</v>
      </c>
      <c r="D211" s="102"/>
      <c r="E211" s="103"/>
      <c r="F211" s="103"/>
      <c r="G211" s="103"/>
      <c r="H211" s="103"/>
      <c r="I211" s="103"/>
      <c r="J211" s="103"/>
      <c r="K211" s="104"/>
      <c r="M211" s="39"/>
      <c r="N211" s="96"/>
      <c r="O211" s="40"/>
    </row>
    <row r="212" spans="2:15" ht="17.100000000000001" customHeight="1" thickTop="1">
      <c r="B212" s="105" t="s">
        <v>2</v>
      </c>
      <c r="C212" s="38" t="s">
        <v>3</v>
      </c>
      <c r="D212" s="116" t="s">
        <v>4</v>
      </c>
      <c r="E212" s="117"/>
      <c r="F212" s="117"/>
      <c r="G212" s="117"/>
      <c r="H212" s="117"/>
      <c r="I212" s="117"/>
      <c r="J212" s="117"/>
      <c r="K212" s="118"/>
      <c r="M212" s="39"/>
      <c r="N212" s="96"/>
      <c r="O212" s="40"/>
    </row>
    <row r="213" spans="2:15" ht="16.149999999999999" customHeight="1">
      <c r="B213" s="106"/>
      <c r="C213" s="41" t="s">
        <v>5</v>
      </c>
      <c r="D213" s="119" t="s">
        <v>4</v>
      </c>
      <c r="E213" s="120"/>
      <c r="F213" s="120"/>
      <c r="G213" s="120"/>
      <c r="H213" s="120"/>
      <c r="I213" s="120"/>
      <c r="J213" s="120"/>
      <c r="K213" s="121"/>
      <c r="M213" s="39"/>
      <c r="N213" s="96"/>
      <c r="O213" s="40"/>
    </row>
    <row r="214" spans="2:15" ht="17.100000000000001" customHeight="1" thickBot="1">
      <c r="B214" s="107"/>
      <c r="C214" s="43" t="s">
        <v>7</v>
      </c>
      <c r="D214" s="112" t="s">
        <v>4</v>
      </c>
      <c r="E214" s="113"/>
      <c r="F214" s="113"/>
      <c r="G214" s="113"/>
      <c r="H214" s="113"/>
      <c r="I214" s="113"/>
      <c r="J214" s="113"/>
      <c r="K214" s="114"/>
      <c r="M214" s="39"/>
      <c r="N214" s="96"/>
      <c r="O214" s="40"/>
    </row>
    <row r="215" spans="2:15" ht="16.149999999999999" thickTop="1" thickBot="1"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M215" s="39"/>
      <c r="N215" s="96"/>
      <c r="O215" s="40"/>
    </row>
    <row r="216" spans="2:15" ht="15.75" thickTop="1">
      <c r="B216" s="128" t="s">
        <v>11</v>
      </c>
      <c r="C216" s="129"/>
      <c r="D216" s="47" t="s">
        <v>12</v>
      </c>
      <c r="E216" s="88"/>
      <c r="F216" s="130" t="s">
        <v>13</v>
      </c>
      <c r="G216" s="131"/>
      <c r="H216" s="131"/>
      <c r="I216" s="131"/>
      <c r="J216" s="131"/>
      <c r="K216" s="132"/>
      <c r="M216" s="39"/>
      <c r="N216" s="90" t="s">
        <v>14</v>
      </c>
      <c r="O216" s="98"/>
    </row>
    <row r="217" spans="2:15" ht="15.75" thickBot="1">
      <c r="B217" s="133" t="s">
        <v>15</v>
      </c>
      <c r="C217" s="134"/>
      <c r="D217" s="49" t="s">
        <v>16</v>
      </c>
      <c r="E217" s="88"/>
      <c r="F217" s="50" t="s">
        <v>14</v>
      </c>
      <c r="G217" s="52" t="s">
        <v>17</v>
      </c>
      <c r="H217" s="51" t="s">
        <v>18</v>
      </c>
      <c r="I217" s="51" t="s">
        <v>19</v>
      </c>
      <c r="J217" s="52" t="s">
        <v>20</v>
      </c>
      <c r="K217" s="77" t="s">
        <v>19</v>
      </c>
      <c r="M217" s="39"/>
      <c r="N217" s="95"/>
      <c r="O217" s="99"/>
    </row>
    <row r="218" spans="2:15">
      <c r="B218" s="135">
        <f>B170</f>
        <v>0</v>
      </c>
      <c r="C218" s="136"/>
      <c r="D218" s="55">
        <f>IF(D222&lt;380, 0.85*D222, D222)</f>
        <v>0</v>
      </c>
      <c r="E218" s="88"/>
      <c r="F218" s="56" t="s">
        <v>22</v>
      </c>
      <c r="G218" s="94">
        <f>N217*1.003</f>
        <v>0</v>
      </c>
      <c r="H218" s="56" t="s">
        <v>23</v>
      </c>
      <c r="I218" s="91">
        <f>N219*0.996</f>
        <v>0</v>
      </c>
      <c r="J218" s="57" t="s">
        <v>24</v>
      </c>
      <c r="K218" s="93">
        <f>N221*1.002</f>
        <v>0</v>
      </c>
      <c r="M218" s="39"/>
      <c r="N218" s="90" t="s">
        <v>18</v>
      </c>
      <c r="O218" s="98"/>
    </row>
    <row r="219" spans="2:15" ht="15.75" thickBot="1">
      <c r="B219" s="137"/>
      <c r="C219" s="138"/>
      <c r="D219" s="55">
        <f>IF(D222&lt;380, 1.05*D222, D222)</f>
        <v>0</v>
      </c>
      <c r="E219" s="88"/>
      <c r="F219" s="56" t="s">
        <v>25</v>
      </c>
      <c r="G219" s="94">
        <f>N217*1.002</f>
        <v>0</v>
      </c>
      <c r="H219" s="56" t="s">
        <v>26</v>
      </c>
      <c r="I219" s="91">
        <f>N219*0.999</f>
        <v>0</v>
      </c>
      <c r="J219" s="57" t="s">
        <v>27</v>
      </c>
      <c r="K219" s="93">
        <f>N221*0.998</f>
        <v>0</v>
      </c>
      <c r="M219" s="39"/>
      <c r="N219" s="95"/>
      <c r="O219" s="99"/>
    </row>
    <row r="220" spans="2:15">
      <c r="B220" s="137"/>
      <c r="C220" s="138"/>
      <c r="D220" s="55">
        <f>IF(D222&lt;380, 1.1*D222, D222)</f>
        <v>0</v>
      </c>
      <c r="E220" s="88"/>
      <c r="F220" s="56" t="s">
        <v>28</v>
      </c>
      <c r="G220" s="94">
        <f>N217*1.004</f>
        <v>0</v>
      </c>
      <c r="H220" s="56" t="s">
        <v>29</v>
      </c>
      <c r="I220" s="91">
        <f>N219*1.001</f>
        <v>0</v>
      </c>
      <c r="J220" s="57" t="s">
        <v>30</v>
      </c>
      <c r="K220" s="93">
        <f>N221*0.997</f>
        <v>0</v>
      </c>
      <c r="M220" s="39"/>
      <c r="N220" s="90" t="s">
        <v>20</v>
      </c>
      <c r="O220" s="98"/>
    </row>
    <row r="221" spans="2:15" ht="15.75" thickBot="1">
      <c r="B221" s="137"/>
      <c r="C221" s="138"/>
      <c r="D221" s="49" t="s">
        <v>31</v>
      </c>
      <c r="E221" s="60"/>
      <c r="F221" s="61" t="s">
        <v>32</v>
      </c>
      <c r="G221" s="79">
        <f>10*LOG10((1/3)*(10^(0.1*G218)+10^(0.1*G219)+10^(0.1*G220)))</f>
        <v>0</v>
      </c>
      <c r="H221" s="61" t="s">
        <v>33</v>
      </c>
      <c r="I221" s="79">
        <f>10*LOG10((1/3)*(10^(0.1*I218)+10^(0.1*I219)+10^(0.1*I220)))</f>
        <v>0</v>
      </c>
      <c r="J221" s="63" t="s">
        <v>34</v>
      </c>
      <c r="K221" s="78">
        <f>(K218+K219+K220)/3</f>
        <v>0</v>
      </c>
      <c r="M221" s="39"/>
      <c r="N221" s="95"/>
      <c r="O221" s="99"/>
    </row>
    <row r="222" spans="2:15" ht="15.75" thickTop="1">
      <c r="B222" s="137"/>
      <c r="C222" s="138"/>
      <c r="D222" s="25"/>
      <c r="E222" s="60"/>
      <c r="F222" s="65"/>
      <c r="G222" s="66"/>
      <c r="H222" s="65"/>
      <c r="I222" s="66"/>
      <c r="J222" s="65"/>
      <c r="K222" s="66"/>
      <c r="M222" s="39"/>
      <c r="N222" s="96"/>
      <c r="O222" s="40"/>
    </row>
    <row r="223" spans="2:15">
      <c r="B223" s="137"/>
      <c r="C223" s="138"/>
      <c r="D223" s="67" t="s">
        <v>36</v>
      </c>
      <c r="E223" s="60"/>
      <c r="F223" s="65"/>
      <c r="G223" s="66"/>
      <c r="H223" s="65"/>
      <c r="I223" s="66"/>
      <c r="J223" s="65"/>
      <c r="K223" s="66"/>
      <c r="M223" s="39"/>
      <c r="N223" s="96"/>
      <c r="O223" s="40"/>
    </row>
    <row r="224" spans="2:15" ht="15.75" thickBot="1">
      <c r="B224" s="139"/>
      <c r="C224" s="140"/>
      <c r="D224" s="68">
        <f>D222/60</f>
        <v>0</v>
      </c>
      <c r="E224" s="60"/>
      <c r="F224" s="69"/>
      <c r="G224" s="70"/>
      <c r="H224" s="70"/>
      <c r="I224" s="70"/>
      <c r="J224" s="71"/>
      <c r="K224" s="71"/>
      <c r="M224" s="39"/>
      <c r="N224" s="96"/>
      <c r="O224" s="40"/>
    </row>
    <row r="225" spans="2:15" ht="15.75" thickTop="1">
      <c r="M225" s="39"/>
      <c r="N225" s="96"/>
      <c r="O225" s="40"/>
    </row>
    <row r="226" spans="2:15" ht="15.75" thickBot="1">
      <c r="M226" s="39"/>
      <c r="N226" s="96"/>
      <c r="O226" s="40"/>
    </row>
    <row r="227" spans="2:15" ht="27" thickTop="1" thickBot="1">
      <c r="B227" s="33" t="s">
        <v>50</v>
      </c>
      <c r="C227" s="34" t="s">
        <v>1</v>
      </c>
      <c r="D227" s="102"/>
      <c r="E227" s="103"/>
      <c r="F227" s="103"/>
      <c r="G227" s="103"/>
      <c r="H227" s="103"/>
      <c r="I227" s="103"/>
      <c r="J227" s="103"/>
      <c r="K227" s="104"/>
      <c r="M227" s="39"/>
      <c r="N227" s="96"/>
      <c r="O227" s="40"/>
    </row>
    <row r="228" spans="2:15" ht="17.100000000000001" customHeight="1" thickTop="1">
      <c r="B228" s="105" t="s">
        <v>2</v>
      </c>
      <c r="C228" s="38" t="s">
        <v>3</v>
      </c>
      <c r="D228" s="116" t="s">
        <v>4</v>
      </c>
      <c r="E228" s="117"/>
      <c r="F228" s="117"/>
      <c r="G228" s="117"/>
      <c r="H228" s="117"/>
      <c r="I228" s="117"/>
      <c r="J228" s="117"/>
      <c r="K228" s="118"/>
      <c r="M228" s="39"/>
      <c r="N228" s="96"/>
      <c r="O228" s="40"/>
    </row>
    <row r="229" spans="2:15" ht="16.149999999999999" customHeight="1">
      <c r="B229" s="106"/>
      <c r="C229" s="41" t="s">
        <v>5</v>
      </c>
      <c r="D229" s="119" t="s">
        <v>4</v>
      </c>
      <c r="E229" s="120"/>
      <c r="F229" s="120"/>
      <c r="G229" s="120"/>
      <c r="H229" s="120"/>
      <c r="I229" s="120"/>
      <c r="J229" s="120"/>
      <c r="K229" s="121"/>
      <c r="M229" s="39"/>
      <c r="N229" s="96"/>
      <c r="O229" s="40"/>
    </row>
    <row r="230" spans="2:15" ht="17.100000000000001" customHeight="1" thickBot="1">
      <c r="B230" s="107"/>
      <c r="C230" s="43" t="s">
        <v>7</v>
      </c>
      <c r="D230" s="112" t="s">
        <v>4</v>
      </c>
      <c r="E230" s="113"/>
      <c r="F230" s="113"/>
      <c r="G230" s="113"/>
      <c r="H230" s="113"/>
      <c r="I230" s="113"/>
      <c r="J230" s="113"/>
      <c r="K230" s="114"/>
      <c r="M230" s="39"/>
      <c r="N230" s="96"/>
      <c r="O230" s="40"/>
    </row>
    <row r="231" spans="2:15" ht="16.149999999999999" thickTop="1" thickBot="1"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M231" s="39"/>
      <c r="N231" s="96"/>
      <c r="O231" s="40"/>
    </row>
    <row r="232" spans="2:15" ht="15.75" thickTop="1">
      <c r="B232" s="128" t="s">
        <v>11</v>
      </c>
      <c r="C232" s="129"/>
      <c r="D232" s="47" t="s">
        <v>12</v>
      </c>
      <c r="E232" s="88"/>
      <c r="F232" s="130" t="s">
        <v>13</v>
      </c>
      <c r="G232" s="131"/>
      <c r="H232" s="131"/>
      <c r="I232" s="131"/>
      <c r="J232" s="131"/>
      <c r="K232" s="132"/>
      <c r="M232" s="39"/>
      <c r="N232" s="90" t="s">
        <v>14</v>
      </c>
      <c r="O232" s="98"/>
    </row>
    <row r="233" spans="2:15" ht="15.75" thickBot="1">
      <c r="B233" s="133" t="s">
        <v>15</v>
      </c>
      <c r="C233" s="134"/>
      <c r="D233" s="49" t="s">
        <v>16</v>
      </c>
      <c r="E233" s="88"/>
      <c r="F233" s="50" t="s">
        <v>14</v>
      </c>
      <c r="G233" s="52" t="s">
        <v>17</v>
      </c>
      <c r="H233" s="51" t="s">
        <v>18</v>
      </c>
      <c r="I233" s="51" t="s">
        <v>19</v>
      </c>
      <c r="J233" s="52" t="s">
        <v>20</v>
      </c>
      <c r="K233" s="77" t="s">
        <v>19</v>
      </c>
      <c r="M233" s="39"/>
      <c r="N233" s="95"/>
      <c r="O233" s="99"/>
    </row>
    <row r="234" spans="2:15">
      <c r="B234" s="135">
        <f>B218</f>
        <v>0</v>
      </c>
      <c r="C234" s="136"/>
      <c r="D234" s="55">
        <f>IF(D238&lt;380, 1.2*D238, D238)</f>
        <v>0</v>
      </c>
      <c r="E234" s="88"/>
      <c r="F234" s="56" t="s">
        <v>22</v>
      </c>
      <c r="G234" s="94">
        <f>N233*0.998</f>
        <v>0</v>
      </c>
      <c r="H234" s="56" t="s">
        <v>23</v>
      </c>
      <c r="I234" s="91">
        <f>N235*1.004</f>
        <v>0</v>
      </c>
      <c r="J234" s="57" t="s">
        <v>24</v>
      </c>
      <c r="K234" s="93">
        <f>N237*0.997</f>
        <v>0</v>
      </c>
      <c r="M234" s="39"/>
      <c r="N234" s="90" t="s">
        <v>18</v>
      </c>
      <c r="O234" s="98"/>
    </row>
    <row r="235" spans="2:15" ht="15.75" thickBot="1">
      <c r="B235" s="137"/>
      <c r="C235" s="138"/>
      <c r="D235" s="55">
        <f>IF(D238&lt;380, 0.85*D238, D238)</f>
        <v>0</v>
      </c>
      <c r="E235" s="88"/>
      <c r="F235" s="56" t="s">
        <v>25</v>
      </c>
      <c r="G235" s="94">
        <f>N233*1.002</f>
        <v>0</v>
      </c>
      <c r="H235" s="56" t="s">
        <v>26</v>
      </c>
      <c r="I235" s="91">
        <f>N235*1.002</f>
        <v>0</v>
      </c>
      <c r="J235" s="57" t="s">
        <v>27</v>
      </c>
      <c r="K235" s="93">
        <f>N237*0.996</f>
        <v>0</v>
      </c>
      <c r="M235" s="39"/>
      <c r="N235" s="95"/>
      <c r="O235" s="99"/>
    </row>
    <row r="236" spans="2:15">
      <c r="B236" s="137"/>
      <c r="C236" s="138"/>
      <c r="D236" s="55">
        <f>IF(D238&lt;380, 0.95*D238, D238)</f>
        <v>0</v>
      </c>
      <c r="E236" s="88"/>
      <c r="F236" s="56" t="s">
        <v>28</v>
      </c>
      <c r="G236" s="94">
        <f>N233*0.999</f>
        <v>0</v>
      </c>
      <c r="H236" s="56" t="s">
        <v>29</v>
      </c>
      <c r="I236" s="91">
        <f>N235*1.001</f>
        <v>0</v>
      </c>
      <c r="J236" s="57" t="s">
        <v>30</v>
      </c>
      <c r="K236" s="93">
        <f>N237*0.999</f>
        <v>0</v>
      </c>
      <c r="M236" s="39"/>
      <c r="N236" s="90" t="s">
        <v>20</v>
      </c>
      <c r="O236" s="98"/>
    </row>
    <row r="237" spans="2:15" ht="15.75" thickBot="1">
      <c r="B237" s="137"/>
      <c r="C237" s="138"/>
      <c r="D237" s="49" t="s">
        <v>31</v>
      </c>
      <c r="E237" s="60"/>
      <c r="F237" s="61" t="s">
        <v>32</v>
      </c>
      <c r="G237" s="79">
        <f>10*LOG10((1/3)*(10^(0.1*G234)+10^(0.1*G235)+10^(0.1*G236)))</f>
        <v>0</v>
      </c>
      <c r="H237" s="61" t="s">
        <v>33</v>
      </c>
      <c r="I237" s="79">
        <f>10*LOG10((1/3)*(10^(0.1*I234)+10^(0.1*I235)+10^(0.1*I236)))</f>
        <v>0</v>
      </c>
      <c r="J237" s="63" t="s">
        <v>34</v>
      </c>
      <c r="K237" s="78">
        <f>(K234+K235+K236)/3</f>
        <v>0</v>
      </c>
      <c r="M237" s="39"/>
      <c r="N237" s="95"/>
      <c r="O237" s="99"/>
    </row>
    <row r="238" spans="2:15" ht="15.75" thickTop="1">
      <c r="B238" s="137"/>
      <c r="C238" s="138"/>
      <c r="D238" s="25"/>
      <c r="E238" s="60"/>
      <c r="F238" s="65"/>
      <c r="G238" s="66"/>
      <c r="H238" s="65"/>
      <c r="I238" s="66"/>
      <c r="J238" s="65"/>
      <c r="K238" s="66"/>
      <c r="M238" s="39"/>
      <c r="N238" s="96"/>
      <c r="O238" s="40"/>
    </row>
    <row r="239" spans="2:15">
      <c r="B239" s="137"/>
      <c r="C239" s="138"/>
      <c r="D239" s="67" t="s">
        <v>36</v>
      </c>
      <c r="E239" s="60"/>
      <c r="F239" s="65"/>
      <c r="G239" s="66"/>
      <c r="H239" s="65"/>
      <c r="I239" s="66"/>
      <c r="J239" s="65"/>
      <c r="K239" s="66"/>
      <c r="M239" s="39"/>
      <c r="N239" s="96"/>
      <c r="O239" s="40"/>
    </row>
    <row r="240" spans="2:15" ht="15.75" thickBot="1">
      <c r="B240" s="139"/>
      <c r="C240" s="140"/>
      <c r="D240" s="68">
        <f>D238/60</f>
        <v>0</v>
      </c>
      <c r="E240" s="60"/>
      <c r="F240" s="69"/>
      <c r="G240" s="70"/>
      <c r="H240" s="70"/>
      <c r="I240" s="70"/>
      <c r="J240" s="71"/>
      <c r="K240" s="71"/>
      <c r="M240" s="39"/>
      <c r="N240" s="96"/>
      <c r="O240" s="40"/>
    </row>
    <row r="241" spans="2:15" ht="15.75" thickTop="1">
      <c r="M241" s="39"/>
      <c r="N241" s="96"/>
      <c r="O241" s="40"/>
    </row>
    <row r="242" spans="2:15" ht="15.75" thickBot="1">
      <c r="M242" s="39"/>
      <c r="N242" s="96"/>
      <c r="O242" s="40"/>
    </row>
    <row r="243" spans="2:15" ht="27" thickTop="1" thickBot="1">
      <c r="B243" s="33" t="s">
        <v>51</v>
      </c>
      <c r="C243" s="34" t="s">
        <v>1</v>
      </c>
      <c r="D243" s="102"/>
      <c r="E243" s="103"/>
      <c r="F243" s="103"/>
      <c r="G243" s="103"/>
      <c r="H243" s="103"/>
      <c r="I243" s="103"/>
      <c r="J243" s="103"/>
      <c r="K243" s="104"/>
      <c r="M243" s="39"/>
      <c r="N243" s="96"/>
      <c r="O243" s="40"/>
    </row>
    <row r="244" spans="2:15" ht="17.100000000000001" customHeight="1" thickTop="1">
      <c r="B244" s="105" t="s">
        <v>2</v>
      </c>
      <c r="C244" s="38" t="s">
        <v>3</v>
      </c>
      <c r="D244" s="116" t="s">
        <v>4</v>
      </c>
      <c r="E244" s="117"/>
      <c r="F244" s="117"/>
      <c r="G244" s="117"/>
      <c r="H244" s="117"/>
      <c r="I244" s="117"/>
      <c r="J244" s="117"/>
      <c r="K244" s="118"/>
      <c r="M244" s="39"/>
      <c r="N244" s="96"/>
      <c r="O244" s="40"/>
    </row>
    <row r="245" spans="2:15" ht="16.149999999999999" customHeight="1">
      <c r="B245" s="106"/>
      <c r="C245" s="41" t="s">
        <v>5</v>
      </c>
      <c r="D245" s="119" t="s">
        <v>4</v>
      </c>
      <c r="E245" s="120"/>
      <c r="F245" s="120"/>
      <c r="G245" s="120"/>
      <c r="H245" s="120"/>
      <c r="I245" s="120"/>
      <c r="J245" s="120"/>
      <c r="K245" s="121"/>
      <c r="M245" s="39"/>
      <c r="N245" s="96"/>
      <c r="O245" s="40"/>
    </row>
    <row r="246" spans="2:15" ht="17.100000000000001" customHeight="1" thickBot="1">
      <c r="B246" s="107"/>
      <c r="C246" s="43" t="s">
        <v>7</v>
      </c>
      <c r="D246" s="112" t="s">
        <v>4</v>
      </c>
      <c r="E246" s="113"/>
      <c r="F246" s="113"/>
      <c r="G246" s="113"/>
      <c r="H246" s="113"/>
      <c r="I246" s="113"/>
      <c r="J246" s="113"/>
      <c r="K246" s="114"/>
      <c r="M246" s="39"/>
      <c r="N246" s="96"/>
      <c r="O246" s="40"/>
    </row>
    <row r="247" spans="2:15" ht="16.149999999999999" thickTop="1" thickBot="1"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M247" s="39"/>
      <c r="N247" s="96"/>
      <c r="O247" s="40"/>
    </row>
    <row r="248" spans="2:15" ht="15.75" thickTop="1">
      <c r="B248" s="128" t="s">
        <v>11</v>
      </c>
      <c r="C248" s="129"/>
      <c r="D248" s="47" t="s">
        <v>12</v>
      </c>
      <c r="E248" s="88"/>
      <c r="F248" s="130" t="s">
        <v>13</v>
      </c>
      <c r="G248" s="131"/>
      <c r="H248" s="131"/>
      <c r="I248" s="131"/>
      <c r="J248" s="131"/>
      <c r="K248" s="132"/>
      <c r="M248" s="39"/>
      <c r="N248" s="90" t="s">
        <v>14</v>
      </c>
      <c r="O248" s="98"/>
    </row>
    <row r="249" spans="2:15" ht="15.75" thickBot="1">
      <c r="B249" s="133" t="s">
        <v>15</v>
      </c>
      <c r="C249" s="134"/>
      <c r="D249" s="49" t="s">
        <v>16</v>
      </c>
      <c r="E249" s="88"/>
      <c r="F249" s="50" t="s">
        <v>14</v>
      </c>
      <c r="G249" s="52" t="s">
        <v>17</v>
      </c>
      <c r="H249" s="51" t="s">
        <v>18</v>
      </c>
      <c r="I249" s="51" t="s">
        <v>19</v>
      </c>
      <c r="J249" s="52" t="s">
        <v>20</v>
      </c>
      <c r="K249" s="77" t="s">
        <v>19</v>
      </c>
      <c r="M249" s="39"/>
      <c r="N249" s="95"/>
      <c r="O249" s="99"/>
    </row>
    <row r="250" spans="2:15">
      <c r="B250" s="135">
        <f>B202</f>
        <v>0</v>
      </c>
      <c r="C250" s="136"/>
      <c r="D250" s="55">
        <f>IF(D254&lt;380, 1.15*D254, D254)</f>
        <v>0</v>
      </c>
      <c r="E250" s="88"/>
      <c r="F250" s="56" t="s">
        <v>22</v>
      </c>
      <c r="G250" s="94">
        <f>N249*1.001</f>
        <v>0</v>
      </c>
      <c r="H250" s="56" t="s">
        <v>23</v>
      </c>
      <c r="I250" s="91">
        <f>N251*1.002</f>
        <v>0</v>
      </c>
      <c r="J250" s="57" t="s">
        <v>24</v>
      </c>
      <c r="K250" s="93">
        <f>N253*0.997</f>
        <v>0</v>
      </c>
      <c r="M250" s="39"/>
      <c r="N250" s="90" t="s">
        <v>18</v>
      </c>
      <c r="O250" s="98"/>
    </row>
    <row r="251" spans="2:15" ht="15.75" thickBot="1">
      <c r="B251" s="137"/>
      <c r="C251" s="138"/>
      <c r="D251" s="55">
        <f>IF(D254&lt;380, 0.95*D254, D254)</f>
        <v>0</v>
      </c>
      <c r="E251" s="88"/>
      <c r="F251" s="56" t="s">
        <v>25</v>
      </c>
      <c r="G251" s="94">
        <f>N249*0.995</f>
        <v>0</v>
      </c>
      <c r="H251" s="56" t="s">
        <v>26</v>
      </c>
      <c r="I251" s="91">
        <f>N251*1.004</f>
        <v>0</v>
      </c>
      <c r="J251" s="57" t="s">
        <v>27</v>
      </c>
      <c r="K251" s="93">
        <f>N253*0.999</f>
        <v>0</v>
      </c>
      <c r="M251" s="39"/>
      <c r="N251" s="95"/>
      <c r="O251" s="99"/>
    </row>
    <row r="252" spans="2:15">
      <c r="B252" s="137"/>
      <c r="C252" s="138"/>
      <c r="D252" s="55">
        <f>IF(D254&lt;380, 0.9*D254, D254)</f>
        <v>0</v>
      </c>
      <c r="E252" s="88"/>
      <c r="F252" s="56" t="s">
        <v>28</v>
      </c>
      <c r="G252" s="94">
        <f>N249*0.998</f>
        <v>0</v>
      </c>
      <c r="H252" s="56" t="s">
        <v>29</v>
      </c>
      <c r="I252" s="91">
        <f>N251*1.003</f>
        <v>0</v>
      </c>
      <c r="J252" s="57" t="s">
        <v>30</v>
      </c>
      <c r="K252" s="93">
        <f>N253*0.996</f>
        <v>0</v>
      </c>
      <c r="M252" s="39"/>
      <c r="N252" s="90" t="s">
        <v>20</v>
      </c>
      <c r="O252" s="98"/>
    </row>
    <row r="253" spans="2:15" ht="15.75" thickBot="1">
      <c r="B253" s="137"/>
      <c r="C253" s="138"/>
      <c r="D253" s="49" t="s">
        <v>31</v>
      </c>
      <c r="E253" s="60"/>
      <c r="F253" s="61" t="s">
        <v>32</v>
      </c>
      <c r="G253" s="79">
        <f>10*LOG10((1/3)*(10^(0.1*G250)+10^(0.1*G251)+10^(0.1*G252)))</f>
        <v>0</v>
      </c>
      <c r="H253" s="61" t="s">
        <v>33</v>
      </c>
      <c r="I253" s="79">
        <f>10*LOG10((1/3)*(10^(0.1*I250)+10^(0.1*I251)+10^(0.1*I252)))</f>
        <v>0</v>
      </c>
      <c r="J253" s="63" t="s">
        <v>34</v>
      </c>
      <c r="K253" s="78">
        <f>(K250+K251+K252)/3</f>
        <v>0</v>
      </c>
      <c r="M253" s="39"/>
      <c r="N253" s="95"/>
      <c r="O253" s="99"/>
    </row>
    <row r="254" spans="2:15" ht="15.75" thickTop="1">
      <c r="B254" s="137"/>
      <c r="C254" s="138"/>
      <c r="D254" s="25"/>
      <c r="E254" s="60"/>
      <c r="F254" s="65"/>
      <c r="G254" s="66"/>
      <c r="H254" s="65"/>
      <c r="I254" s="66"/>
      <c r="J254" s="65"/>
      <c r="K254" s="66"/>
      <c r="M254" s="39"/>
      <c r="N254" s="96"/>
      <c r="O254" s="40"/>
    </row>
    <row r="255" spans="2:15">
      <c r="B255" s="137"/>
      <c r="C255" s="138"/>
      <c r="D255" s="67" t="s">
        <v>36</v>
      </c>
      <c r="E255" s="60"/>
      <c r="F255" s="65"/>
      <c r="G255" s="66"/>
      <c r="H255" s="65"/>
      <c r="I255" s="66"/>
      <c r="J255" s="65"/>
      <c r="K255" s="66"/>
      <c r="M255" s="39"/>
      <c r="N255" s="96"/>
      <c r="O255" s="40"/>
    </row>
    <row r="256" spans="2:15" ht="15.75" thickBot="1">
      <c r="B256" s="139"/>
      <c r="C256" s="140"/>
      <c r="D256" s="68">
        <f>D254/60</f>
        <v>0</v>
      </c>
      <c r="E256" s="60"/>
      <c r="F256" s="69"/>
      <c r="G256" s="70"/>
      <c r="H256" s="70"/>
      <c r="I256" s="70"/>
      <c r="J256" s="71"/>
      <c r="K256" s="71"/>
      <c r="M256" s="39"/>
      <c r="N256" s="96"/>
      <c r="O256" s="40"/>
    </row>
    <row r="257" spans="2:15" ht="15.75" thickTop="1">
      <c r="M257" s="39"/>
      <c r="N257" s="96"/>
      <c r="O257" s="40"/>
    </row>
    <row r="258" spans="2:15" ht="15.75" thickBot="1">
      <c r="M258" s="39"/>
      <c r="N258" s="96"/>
      <c r="O258" s="40"/>
    </row>
    <row r="259" spans="2:15" ht="27" thickTop="1" thickBot="1">
      <c r="B259" s="33" t="s">
        <v>52</v>
      </c>
      <c r="C259" s="34" t="s">
        <v>1</v>
      </c>
      <c r="D259" s="102"/>
      <c r="E259" s="103"/>
      <c r="F259" s="103"/>
      <c r="G259" s="103"/>
      <c r="H259" s="103"/>
      <c r="I259" s="103"/>
      <c r="J259" s="103"/>
      <c r="K259" s="104"/>
      <c r="M259" s="39"/>
      <c r="N259" s="96"/>
      <c r="O259" s="40"/>
    </row>
    <row r="260" spans="2:15" ht="17.100000000000001" customHeight="1" thickTop="1">
      <c r="B260" s="105" t="s">
        <v>2</v>
      </c>
      <c r="C260" s="38" t="s">
        <v>3</v>
      </c>
      <c r="D260" s="116" t="s">
        <v>4</v>
      </c>
      <c r="E260" s="117"/>
      <c r="F260" s="117"/>
      <c r="G260" s="117"/>
      <c r="H260" s="117"/>
      <c r="I260" s="117"/>
      <c r="J260" s="117"/>
      <c r="K260" s="118"/>
      <c r="M260" s="39"/>
      <c r="N260" s="96"/>
      <c r="O260" s="40"/>
    </row>
    <row r="261" spans="2:15" ht="16.149999999999999" customHeight="1">
      <c r="B261" s="106"/>
      <c r="C261" s="41" t="s">
        <v>5</v>
      </c>
      <c r="D261" s="119" t="s">
        <v>4</v>
      </c>
      <c r="E261" s="120"/>
      <c r="F261" s="120"/>
      <c r="G261" s="120"/>
      <c r="H261" s="120"/>
      <c r="I261" s="120"/>
      <c r="J261" s="120"/>
      <c r="K261" s="121"/>
      <c r="M261" s="39"/>
      <c r="N261" s="96"/>
      <c r="O261" s="40"/>
    </row>
    <row r="262" spans="2:15" ht="17.100000000000001" customHeight="1" thickBot="1">
      <c r="B262" s="107"/>
      <c r="C262" s="43" t="s">
        <v>7</v>
      </c>
      <c r="D262" s="112" t="s">
        <v>4</v>
      </c>
      <c r="E262" s="113"/>
      <c r="F262" s="113"/>
      <c r="G262" s="113"/>
      <c r="H262" s="113"/>
      <c r="I262" s="113"/>
      <c r="J262" s="113"/>
      <c r="K262" s="114"/>
      <c r="M262" s="39"/>
      <c r="N262" s="96"/>
      <c r="O262" s="40"/>
    </row>
    <row r="263" spans="2:15" ht="16.149999999999999" thickTop="1" thickBot="1"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M263" s="39"/>
      <c r="N263" s="96"/>
      <c r="O263" s="40"/>
    </row>
    <row r="264" spans="2:15" ht="15.75" thickTop="1">
      <c r="B264" s="128" t="s">
        <v>11</v>
      </c>
      <c r="C264" s="129"/>
      <c r="D264" s="47" t="s">
        <v>12</v>
      </c>
      <c r="E264" s="88"/>
      <c r="F264" s="130" t="s">
        <v>13</v>
      </c>
      <c r="G264" s="131"/>
      <c r="H264" s="131"/>
      <c r="I264" s="131"/>
      <c r="J264" s="131"/>
      <c r="K264" s="132"/>
      <c r="M264" s="39"/>
      <c r="N264" s="90" t="s">
        <v>14</v>
      </c>
      <c r="O264" s="98"/>
    </row>
    <row r="265" spans="2:15" ht="15.75" thickBot="1">
      <c r="B265" s="133" t="s">
        <v>15</v>
      </c>
      <c r="C265" s="134"/>
      <c r="D265" s="49" t="s">
        <v>16</v>
      </c>
      <c r="E265" s="88"/>
      <c r="F265" s="50" t="s">
        <v>14</v>
      </c>
      <c r="G265" s="52" t="s">
        <v>17</v>
      </c>
      <c r="H265" s="51" t="s">
        <v>18</v>
      </c>
      <c r="I265" s="51" t="s">
        <v>19</v>
      </c>
      <c r="J265" s="52" t="s">
        <v>20</v>
      </c>
      <c r="K265" s="77" t="s">
        <v>19</v>
      </c>
      <c r="M265" s="39"/>
      <c r="N265" s="95"/>
      <c r="O265" s="99"/>
    </row>
    <row r="266" spans="2:15">
      <c r="B266" s="135">
        <f>B218</f>
        <v>0</v>
      </c>
      <c r="C266" s="136"/>
      <c r="D266" s="55">
        <f>IF(D270&lt;380, 0.95*D270, D270)</f>
        <v>0</v>
      </c>
      <c r="E266" s="88"/>
      <c r="F266" s="56" t="s">
        <v>22</v>
      </c>
      <c r="G266" s="94">
        <f>N265*1.003</f>
        <v>0</v>
      </c>
      <c r="H266" s="56" t="s">
        <v>23</v>
      </c>
      <c r="I266" s="91">
        <f>N267*0.998</f>
        <v>0</v>
      </c>
      <c r="J266" s="57" t="s">
        <v>24</v>
      </c>
      <c r="K266" s="93">
        <f>N269*0.996</f>
        <v>0</v>
      </c>
      <c r="M266" s="39"/>
      <c r="N266" s="90" t="s">
        <v>18</v>
      </c>
      <c r="O266" s="98"/>
    </row>
    <row r="267" spans="2:15" ht="15.75" thickBot="1">
      <c r="B267" s="137"/>
      <c r="C267" s="138"/>
      <c r="D267" s="55">
        <f>IF(D270&lt;380, 1.25*D270, D270)</f>
        <v>0</v>
      </c>
      <c r="E267" s="88"/>
      <c r="F267" s="56" t="s">
        <v>25</v>
      </c>
      <c r="G267" s="94">
        <f>N265*1.005</f>
        <v>0</v>
      </c>
      <c r="H267" s="56" t="s">
        <v>26</v>
      </c>
      <c r="I267" s="91">
        <f>N267*1.001</f>
        <v>0</v>
      </c>
      <c r="J267" s="57" t="s">
        <v>27</v>
      </c>
      <c r="K267" s="93">
        <f>N269*0.999</f>
        <v>0</v>
      </c>
      <c r="M267" s="39"/>
      <c r="N267" s="95"/>
      <c r="O267" s="99"/>
    </row>
    <row r="268" spans="2:15">
      <c r="B268" s="137"/>
      <c r="C268" s="138"/>
      <c r="D268" s="55">
        <f>IF(D270&lt;380, 0.8*D270, D270)</f>
        <v>0</v>
      </c>
      <c r="E268" s="88"/>
      <c r="F268" s="56" t="s">
        <v>28</v>
      </c>
      <c r="G268" s="94">
        <f>N265*1.002</f>
        <v>0</v>
      </c>
      <c r="H268" s="56" t="s">
        <v>29</v>
      </c>
      <c r="I268" s="91">
        <f>N267*0.997</f>
        <v>0</v>
      </c>
      <c r="J268" s="57" t="s">
        <v>30</v>
      </c>
      <c r="K268" s="93">
        <f>N269*1.002</f>
        <v>0</v>
      </c>
      <c r="M268" s="39"/>
      <c r="N268" s="90" t="s">
        <v>20</v>
      </c>
      <c r="O268" s="98"/>
    </row>
    <row r="269" spans="2:15" ht="15.75" thickBot="1">
      <c r="B269" s="137"/>
      <c r="C269" s="138"/>
      <c r="D269" s="49" t="s">
        <v>31</v>
      </c>
      <c r="E269" s="60"/>
      <c r="F269" s="61" t="s">
        <v>32</v>
      </c>
      <c r="G269" s="79">
        <f>10*LOG10((1/3)*(10^(0.1*G266)+10^(0.1*G267)+10^(0.1*G268)))</f>
        <v>0</v>
      </c>
      <c r="H269" s="61" t="s">
        <v>33</v>
      </c>
      <c r="I269" s="79">
        <f>10*LOG10((1/3)*(10^(0.1*I266)+10^(0.1*I267)+10^(0.1*I268)))</f>
        <v>0</v>
      </c>
      <c r="J269" s="63" t="s">
        <v>34</v>
      </c>
      <c r="K269" s="78">
        <f>(K266+K267+K268)/3</f>
        <v>0</v>
      </c>
      <c r="M269" s="39"/>
      <c r="N269" s="95"/>
      <c r="O269" s="99"/>
    </row>
    <row r="270" spans="2:15" ht="15.75" thickTop="1">
      <c r="B270" s="137"/>
      <c r="C270" s="138"/>
      <c r="D270" s="25"/>
      <c r="E270" s="60"/>
      <c r="F270" s="65"/>
      <c r="G270" s="66"/>
      <c r="H270" s="65"/>
      <c r="I270" s="66"/>
      <c r="J270" s="65"/>
      <c r="K270" s="66"/>
      <c r="M270" s="39"/>
      <c r="N270" s="96"/>
      <c r="O270" s="40"/>
    </row>
    <row r="271" spans="2:15">
      <c r="B271" s="137"/>
      <c r="C271" s="138"/>
      <c r="D271" s="67" t="s">
        <v>36</v>
      </c>
      <c r="E271" s="60"/>
      <c r="F271" s="65"/>
      <c r="G271" s="66"/>
      <c r="H271" s="65"/>
      <c r="I271" s="66"/>
      <c r="J271" s="65"/>
      <c r="K271" s="66"/>
      <c r="M271" s="39"/>
      <c r="N271" s="96"/>
      <c r="O271" s="40"/>
    </row>
    <row r="272" spans="2:15" ht="15.75" thickBot="1">
      <c r="B272" s="139"/>
      <c r="C272" s="140"/>
      <c r="D272" s="68">
        <f>D270/60</f>
        <v>0</v>
      </c>
      <c r="E272" s="60"/>
      <c r="F272" s="69"/>
      <c r="G272" s="70"/>
      <c r="H272" s="70"/>
      <c r="I272" s="70"/>
      <c r="J272" s="71"/>
      <c r="K272" s="71"/>
      <c r="M272" s="39"/>
      <c r="N272" s="96"/>
      <c r="O272" s="40"/>
    </row>
    <row r="273" spans="2:15" ht="15.75" thickTop="1">
      <c r="M273" s="39"/>
      <c r="N273" s="96"/>
      <c r="O273" s="40"/>
    </row>
    <row r="274" spans="2:15" ht="15.75" thickBot="1">
      <c r="M274" s="39"/>
      <c r="N274" s="96"/>
      <c r="O274" s="40"/>
    </row>
    <row r="275" spans="2:15" ht="27" thickTop="1" thickBot="1">
      <c r="B275" s="33" t="s">
        <v>53</v>
      </c>
      <c r="C275" s="34" t="s">
        <v>1</v>
      </c>
      <c r="D275" s="102"/>
      <c r="E275" s="103"/>
      <c r="F275" s="103"/>
      <c r="G275" s="103"/>
      <c r="H275" s="103"/>
      <c r="I275" s="103"/>
      <c r="J275" s="103"/>
      <c r="K275" s="104"/>
      <c r="M275" s="39"/>
      <c r="N275" s="96"/>
      <c r="O275" s="40"/>
    </row>
    <row r="276" spans="2:15" ht="17.100000000000001" customHeight="1" thickTop="1">
      <c r="B276" s="105" t="s">
        <v>2</v>
      </c>
      <c r="C276" s="38" t="s">
        <v>3</v>
      </c>
      <c r="D276" s="116" t="s">
        <v>4</v>
      </c>
      <c r="E276" s="117"/>
      <c r="F276" s="117"/>
      <c r="G276" s="117"/>
      <c r="H276" s="117"/>
      <c r="I276" s="117"/>
      <c r="J276" s="117"/>
      <c r="K276" s="118"/>
      <c r="M276" s="39"/>
      <c r="N276" s="96"/>
      <c r="O276" s="40"/>
    </row>
    <row r="277" spans="2:15" ht="16.149999999999999" customHeight="1">
      <c r="B277" s="106"/>
      <c r="C277" s="41" t="s">
        <v>5</v>
      </c>
      <c r="D277" s="119" t="s">
        <v>4</v>
      </c>
      <c r="E277" s="120"/>
      <c r="F277" s="120"/>
      <c r="G277" s="120"/>
      <c r="H277" s="120"/>
      <c r="I277" s="120"/>
      <c r="J277" s="120"/>
      <c r="K277" s="121"/>
      <c r="M277" s="39"/>
      <c r="N277" s="96"/>
      <c r="O277" s="40"/>
    </row>
    <row r="278" spans="2:15" ht="17.100000000000001" customHeight="1" thickBot="1">
      <c r="B278" s="107"/>
      <c r="C278" s="43" t="s">
        <v>7</v>
      </c>
      <c r="D278" s="112" t="s">
        <v>4</v>
      </c>
      <c r="E278" s="113"/>
      <c r="F278" s="113"/>
      <c r="G278" s="113"/>
      <c r="H278" s="113"/>
      <c r="I278" s="113"/>
      <c r="J278" s="113"/>
      <c r="K278" s="114"/>
      <c r="M278" s="39"/>
      <c r="N278" s="96"/>
      <c r="O278" s="40"/>
    </row>
    <row r="279" spans="2:15" ht="16.149999999999999" thickTop="1" thickBot="1"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M279" s="39"/>
      <c r="N279" s="96"/>
      <c r="O279" s="40"/>
    </row>
    <row r="280" spans="2:15" ht="15.75" thickTop="1">
      <c r="B280" s="128" t="s">
        <v>11</v>
      </c>
      <c r="C280" s="129"/>
      <c r="D280" s="47" t="s">
        <v>12</v>
      </c>
      <c r="E280" s="88"/>
      <c r="F280" s="130" t="s">
        <v>13</v>
      </c>
      <c r="G280" s="131"/>
      <c r="H280" s="131"/>
      <c r="I280" s="131"/>
      <c r="J280" s="131"/>
      <c r="K280" s="132"/>
      <c r="M280" s="39"/>
      <c r="N280" s="90" t="s">
        <v>14</v>
      </c>
      <c r="O280" s="98"/>
    </row>
    <row r="281" spans="2:15" ht="15.75" thickBot="1">
      <c r="B281" s="133" t="s">
        <v>15</v>
      </c>
      <c r="C281" s="134"/>
      <c r="D281" s="49" t="s">
        <v>16</v>
      </c>
      <c r="E281" s="88"/>
      <c r="F281" s="50" t="s">
        <v>14</v>
      </c>
      <c r="G281" s="52" t="s">
        <v>17</v>
      </c>
      <c r="H281" s="51" t="s">
        <v>18</v>
      </c>
      <c r="I281" s="51" t="s">
        <v>19</v>
      </c>
      <c r="J281" s="52" t="s">
        <v>20</v>
      </c>
      <c r="K281" s="77" t="s">
        <v>19</v>
      </c>
      <c r="M281" s="39"/>
      <c r="N281" s="95"/>
      <c r="O281" s="99"/>
    </row>
    <row r="282" spans="2:15">
      <c r="B282" s="135">
        <f>B266</f>
        <v>0</v>
      </c>
      <c r="C282" s="136"/>
      <c r="D282" s="55">
        <f>IF(D286&lt;380, 0.8*D286, D286)</f>
        <v>0</v>
      </c>
      <c r="E282" s="88"/>
      <c r="F282" s="56" t="s">
        <v>22</v>
      </c>
      <c r="G282" s="94">
        <f>N281*0.998</f>
        <v>0</v>
      </c>
      <c r="H282" s="56" t="s">
        <v>23</v>
      </c>
      <c r="I282" s="91">
        <f>N283*1.003</f>
        <v>0</v>
      </c>
      <c r="J282" s="57" t="s">
        <v>24</v>
      </c>
      <c r="K282" s="93">
        <f>N285*1.005</f>
        <v>0</v>
      </c>
      <c r="M282" s="39"/>
      <c r="N282" s="90" t="s">
        <v>18</v>
      </c>
      <c r="O282" s="98"/>
    </row>
    <row r="283" spans="2:15" ht="15.75" thickBot="1">
      <c r="B283" s="137"/>
      <c r="C283" s="138"/>
      <c r="D283" s="55">
        <f>IF(D286&lt;380, 0.95*D286, D286)</f>
        <v>0</v>
      </c>
      <c r="E283" s="88"/>
      <c r="F283" s="56" t="s">
        <v>25</v>
      </c>
      <c r="G283" s="94">
        <f>N281*1.002</f>
        <v>0</v>
      </c>
      <c r="H283" s="56" t="s">
        <v>26</v>
      </c>
      <c r="I283" s="91">
        <f>N283*1.001</f>
        <v>0</v>
      </c>
      <c r="J283" s="57" t="s">
        <v>27</v>
      </c>
      <c r="K283" s="93">
        <f>N285*1.003</f>
        <v>0</v>
      </c>
      <c r="M283" s="39"/>
      <c r="N283" s="95"/>
      <c r="O283" s="99"/>
    </row>
    <row r="284" spans="2:15">
      <c r="B284" s="137"/>
      <c r="C284" s="138"/>
      <c r="D284" s="55">
        <f>IF(D286&lt;380, 1.25*D286, D286)</f>
        <v>0</v>
      </c>
      <c r="E284" s="88"/>
      <c r="F284" s="56" t="s">
        <v>28</v>
      </c>
      <c r="G284" s="94">
        <f>N281*0.997</f>
        <v>0</v>
      </c>
      <c r="H284" s="56" t="s">
        <v>29</v>
      </c>
      <c r="I284" s="91">
        <f>N283*0.996</f>
        <v>0</v>
      </c>
      <c r="J284" s="57" t="s">
        <v>30</v>
      </c>
      <c r="K284" s="93">
        <f>N285*1.002</f>
        <v>0</v>
      </c>
      <c r="M284" s="39"/>
      <c r="N284" s="90" t="s">
        <v>20</v>
      </c>
      <c r="O284" s="98"/>
    </row>
    <row r="285" spans="2:15" ht="15.75" thickBot="1">
      <c r="B285" s="137"/>
      <c r="C285" s="138"/>
      <c r="D285" s="49" t="s">
        <v>31</v>
      </c>
      <c r="E285" s="60"/>
      <c r="F285" s="61" t="s">
        <v>32</v>
      </c>
      <c r="G285" s="79">
        <f>10*LOG10((1/3)*(10^(0.1*G282)+10^(0.1*G283)+10^(0.1*G284)))</f>
        <v>0</v>
      </c>
      <c r="H285" s="61" t="s">
        <v>33</v>
      </c>
      <c r="I285" s="79">
        <f>10*LOG10((1/3)*(10^(0.1*I282)+10^(0.1*I283)+10^(0.1*I284)))</f>
        <v>0</v>
      </c>
      <c r="J285" s="63" t="s">
        <v>34</v>
      </c>
      <c r="K285" s="78">
        <f>(K282+K283+K284)/3</f>
        <v>0</v>
      </c>
      <c r="M285" s="39"/>
      <c r="N285" s="95"/>
      <c r="O285" s="99"/>
    </row>
    <row r="286" spans="2:15" ht="15.75" thickTop="1">
      <c r="B286" s="137"/>
      <c r="C286" s="138"/>
      <c r="D286" s="25"/>
      <c r="E286" s="60"/>
      <c r="F286" s="65"/>
      <c r="G286" s="66"/>
      <c r="H286" s="65"/>
      <c r="I286" s="66"/>
      <c r="J286" s="65"/>
      <c r="K286" s="66"/>
      <c r="M286" s="39"/>
      <c r="N286" s="96"/>
      <c r="O286" s="40"/>
    </row>
    <row r="287" spans="2:15">
      <c r="B287" s="137"/>
      <c r="C287" s="138"/>
      <c r="D287" s="67" t="s">
        <v>36</v>
      </c>
      <c r="E287" s="60"/>
      <c r="F287" s="65"/>
      <c r="G287" s="66"/>
      <c r="H287" s="65"/>
      <c r="I287" s="66"/>
      <c r="J287" s="65"/>
      <c r="K287" s="66"/>
      <c r="M287" s="39"/>
      <c r="N287" s="96"/>
      <c r="O287" s="40"/>
    </row>
    <row r="288" spans="2:15" ht="15.75" thickBot="1">
      <c r="B288" s="139"/>
      <c r="C288" s="140"/>
      <c r="D288" s="68">
        <f>D286/60</f>
        <v>0</v>
      </c>
      <c r="E288" s="60"/>
      <c r="F288" s="69"/>
      <c r="G288" s="70"/>
      <c r="H288" s="70"/>
      <c r="I288" s="70"/>
      <c r="J288" s="71"/>
      <c r="K288" s="71"/>
      <c r="M288" s="39"/>
      <c r="N288" s="96"/>
      <c r="O288" s="40"/>
    </row>
    <row r="289" spans="2:15" ht="15.75" thickTop="1">
      <c r="M289" s="39"/>
      <c r="N289" s="96"/>
      <c r="O289" s="40"/>
    </row>
    <row r="290" spans="2:15" ht="15.75" thickBot="1">
      <c r="M290" s="39"/>
      <c r="N290" s="96"/>
      <c r="O290" s="40"/>
    </row>
    <row r="291" spans="2:15" ht="27" thickTop="1" thickBot="1">
      <c r="B291" s="33" t="s">
        <v>54</v>
      </c>
      <c r="C291" s="34" t="s">
        <v>1</v>
      </c>
      <c r="D291" s="102"/>
      <c r="E291" s="103"/>
      <c r="F291" s="103"/>
      <c r="G291" s="103"/>
      <c r="H291" s="103"/>
      <c r="I291" s="103"/>
      <c r="J291" s="103"/>
      <c r="K291" s="104"/>
      <c r="M291" s="39"/>
      <c r="N291" s="96"/>
      <c r="O291" s="40"/>
    </row>
    <row r="292" spans="2:15" ht="17.100000000000001" customHeight="1" thickTop="1">
      <c r="B292" s="105" t="s">
        <v>2</v>
      </c>
      <c r="C292" s="38" t="s">
        <v>3</v>
      </c>
      <c r="D292" s="116" t="s">
        <v>4</v>
      </c>
      <c r="E292" s="117"/>
      <c r="F292" s="117"/>
      <c r="G292" s="117"/>
      <c r="H292" s="117"/>
      <c r="I292" s="117"/>
      <c r="J292" s="117"/>
      <c r="K292" s="118"/>
      <c r="M292" s="39"/>
      <c r="N292" s="96"/>
      <c r="O292" s="40"/>
    </row>
    <row r="293" spans="2:15" ht="16.149999999999999" customHeight="1">
      <c r="B293" s="106"/>
      <c r="C293" s="41" t="s">
        <v>5</v>
      </c>
      <c r="D293" s="119" t="s">
        <v>4</v>
      </c>
      <c r="E293" s="120"/>
      <c r="F293" s="120"/>
      <c r="G293" s="120"/>
      <c r="H293" s="120"/>
      <c r="I293" s="120"/>
      <c r="J293" s="120"/>
      <c r="K293" s="121"/>
      <c r="M293" s="39"/>
      <c r="N293" s="96"/>
      <c r="O293" s="40"/>
    </row>
    <row r="294" spans="2:15" ht="17.100000000000001" customHeight="1" thickBot="1">
      <c r="B294" s="107"/>
      <c r="C294" s="43" t="s">
        <v>7</v>
      </c>
      <c r="D294" s="112" t="s">
        <v>4</v>
      </c>
      <c r="E294" s="113"/>
      <c r="F294" s="113"/>
      <c r="G294" s="113"/>
      <c r="H294" s="113"/>
      <c r="I294" s="113"/>
      <c r="J294" s="113"/>
      <c r="K294" s="114"/>
      <c r="M294" s="39"/>
      <c r="N294" s="96"/>
      <c r="O294" s="40"/>
    </row>
    <row r="295" spans="2:15" ht="16.149999999999999" thickTop="1" thickBot="1"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M295" s="39"/>
      <c r="N295" s="96"/>
      <c r="O295" s="40"/>
    </row>
    <row r="296" spans="2:15" ht="15.75" thickTop="1">
      <c r="B296" s="128" t="s">
        <v>11</v>
      </c>
      <c r="C296" s="129"/>
      <c r="D296" s="47" t="s">
        <v>12</v>
      </c>
      <c r="E296" s="88"/>
      <c r="F296" s="130" t="s">
        <v>13</v>
      </c>
      <c r="G296" s="131"/>
      <c r="H296" s="131"/>
      <c r="I296" s="131"/>
      <c r="J296" s="131"/>
      <c r="K296" s="132"/>
      <c r="M296" s="39"/>
      <c r="N296" s="90" t="s">
        <v>14</v>
      </c>
      <c r="O296" s="98"/>
    </row>
    <row r="297" spans="2:15" ht="15.75" thickBot="1">
      <c r="B297" s="133" t="s">
        <v>15</v>
      </c>
      <c r="C297" s="134"/>
      <c r="D297" s="49" t="s">
        <v>16</v>
      </c>
      <c r="E297" s="88"/>
      <c r="F297" s="50" t="s">
        <v>14</v>
      </c>
      <c r="G297" s="52" t="s">
        <v>17</v>
      </c>
      <c r="H297" s="51" t="s">
        <v>18</v>
      </c>
      <c r="I297" s="51" t="s">
        <v>19</v>
      </c>
      <c r="J297" s="52" t="s">
        <v>20</v>
      </c>
      <c r="K297" s="77" t="s">
        <v>19</v>
      </c>
      <c r="M297" s="39"/>
      <c r="N297" s="95"/>
      <c r="O297" s="99"/>
    </row>
    <row r="298" spans="2:15">
      <c r="B298" s="135">
        <f>B250</f>
        <v>0</v>
      </c>
      <c r="C298" s="136"/>
      <c r="D298" s="55">
        <f>IF(D302&lt;380, 0.95*D302, D302)</f>
        <v>0</v>
      </c>
      <c r="E298" s="88"/>
      <c r="F298" s="56" t="s">
        <v>22</v>
      </c>
      <c r="G298" s="94">
        <f>N297*1.001</f>
        <v>0</v>
      </c>
      <c r="H298" s="56" t="s">
        <v>23</v>
      </c>
      <c r="I298" s="91">
        <f>N299*1.004</f>
        <v>0</v>
      </c>
      <c r="J298" s="57" t="s">
        <v>24</v>
      </c>
      <c r="K298" s="93">
        <f>N301*1.002</f>
        <v>0</v>
      </c>
      <c r="M298" s="39"/>
      <c r="N298" s="90" t="s">
        <v>18</v>
      </c>
      <c r="O298" s="98"/>
    </row>
    <row r="299" spans="2:15" ht="15.75" thickBot="1">
      <c r="B299" s="137"/>
      <c r="C299" s="138"/>
      <c r="D299" s="55">
        <f>IF(D302&lt;380, 1.15*D302, D302)</f>
        <v>0</v>
      </c>
      <c r="E299" s="88"/>
      <c r="F299" s="56" t="s">
        <v>25</v>
      </c>
      <c r="G299" s="94">
        <f>N297*0.998</f>
        <v>0</v>
      </c>
      <c r="H299" s="56" t="s">
        <v>26</v>
      </c>
      <c r="I299" s="91">
        <f>N299*0.999</f>
        <v>0</v>
      </c>
      <c r="J299" s="57" t="s">
        <v>27</v>
      </c>
      <c r="K299" s="93">
        <f>N301*1.003</f>
        <v>0</v>
      </c>
      <c r="M299" s="39"/>
      <c r="N299" s="95"/>
      <c r="O299" s="99"/>
    </row>
    <row r="300" spans="2:15">
      <c r="B300" s="137"/>
      <c r="C300" s="138"/>
      <c r="D300" s="55">
        <f>IF(D302&lt;380, 0.9*D302, D302)</f>
        <v>0</v>
      </c>
      <c r="E300" s="88"/>
      <c r="F300" s="56" t="s">
        <v>28</v>
      </c>
      <c r="G300" s="94">
        <f>N297*1.002</f>
        <v>0</v>
      </c>
      <c r="H300" s="56" t="s">
        <v>29</v>
      </c>
      <c r="I300" s="91">
        <f>N299*1.002</f>
        <v>0</v>
      </c>
      <c r="J300" s="57" t="s">
        <v>30</v>
      </c>
      <c r="K300" s="93">
        <f>N301*1.001</f>
        <v>0</v>
      </c>
      <c r="M300" s="39"/>
      <c r="N300" s="90" t="s">
        <v>20</v>
      </c>
      <c r="O300" s="98"/>
    </row>
    <row r="301" spans="2:15" ht="15.75" thickBot="1">
      <c r="B301" s="137"/>
      <c r="C301" s="138"/>
      <c r="D301" s="49" t="s">
        <v>31</v>
      </c>
      <c r="E301" s="60"/>
      <c r="F301" s="61" t="s">
        <v>32</v>
      </c>
      <c r="G301" s="79">
        <f>10*LOG10((1/3)*(10^(0.1*G298)+10^(0.1*G299)+10^(0.1*G300)))</f>
        <v>0</v>
      </c>
      <c r="H301" s="61" t="s">
        <v>33</v>
      </c>
      <c r="I301" s="79">
        <f>10*LOG10((1/3)*(10^(0.1*I298)+10^(0.1*I299)+10^(0.1*I300)))</f>
        <v>0</v>
      </c>
      <c r="J301" s="63" t="s">
        <v>34</v>
      </c>
      <c r="K301" s="78">
        <f>(K298+K299+K300)/3</f>
        <v>0</v>
      </c>
      <c r="M301" s="39"/>
      <c r="N301" s="95"/>
      <c r="O301" s="99"/>
    </row>
    <row r="302" spans="2:15" ht="15.75" thickTop="1">
      <c r="B302" s="137"/>
      <c r="C302" s="138"/>
      <c r="D302" s="25"/>
      <c r="E302" s="60"/>
      <c r="F302" s="65"/>
      <c r="G302" s="66"/>
      <c r="H302" s="65"/>
      <c r="I302" s="66"/>
      <c r="J302" s="65"/>
      <c r="K302" s="66"/>
      <c r="M302" s="39"/>
      <c r="N302" s="96"/>
      <c r="O302" s="40"/>
    </row>
    <row r="303" spans="2:15">
      <c r="B303" s="137"/>
      <c r="C303" s="138"/>
      <c r="D303" s="67" t="s">
        <v>36</v>
      </c>
      <c r="E303" s="60"/>
      <c r="F303" s="65"/>
      <c r="G303" s="66"/>
      <c r="H303" s="65"/>
      <c r="I303" s="66"/>
      <c r="J303" s="65"/>
      <c r="K303" s="66"/>
      <c r="M303" s="39"/>
      <c r="N303" s="96"/>
      <c r="O303" s="40"/>
    </row>
    <row r="304" spans="2:15" ht="15.75" thickBot="1">
      <c r="B304" s="139"/>
      <c r="C304" s="140"/>
      <c r="D304" s="68">
        <f>D302/60</f>
        <v>0</v>
      </c>
      <c r="E304" s="60"/>
      <c r="F304" s="69"/>
      <c r="G304" s="70"/>
      <c r="H304" s="70"/>
      <c r="I304" s="70"/>
      <c r="J304" s="71"/>
      <c r="K304" s="71"/>
      <c r="M304" s="39"/>
      <c r="N304" s="96"/>
      <c r="O304" s="40"/>
    </row>
    <row r="305" spans="2:15" ht="15.75" thickTop="1">
      <c r="M305" s="39"/>
      <c r="N305" s="96"/>
      <c r="O305" s="40"/>
    </row>
    <row r="306" spans="2:15" ht="15.75" thickBot="1">
      <c r="M306" s="39"/>
      <c r="N306" s="96"/>
      <c r="O306" s="40"/>
    </row>
    <row r="307" spans="2:15" ht="27" thickTop="1" thickBot="1">
      <c r="B307" s="33" t="s">
        <v>55</v>
      </c>
      <c r="C307" s="34" t="s">
        <v>1</v>
      </c>
      <c r="D307" s="102"/>
      <c r="E307" s="103"/>
      <c r="F307" s="103"/>
      <c r="G307" s="103"/>
      <c r="H307" s="103"/>
      <c r="I307" s="103"/>
      <c r="J307" s="103"/>
      <c r="K307" s="104"/>
      <c r="M307" s="39"/>
      <c r="N307" s="96"/>
      <c r="O307" s="40"/>
    </row>
    <row r="308" spans="2:15" ht="17.100000000000001" customHeight="1" thickTop="1">
      <c r="B308" s="105" t="s">
        <v>2</v>
      </c>
      <c r="C308" s="38" t="s">
        <v>3</v>
      </c>
      <c r="D308" s="116" t="s">
        <v>4</v>
      </c>
      <c r="E308" s="117"/>
      <c r="F308" s="117"/>
      <c r="G308" s="117"/>
      <c r="H308" s="117"/>
      <c r="I308" s="117"/>
      <c r="J308" s="117"/>
      <c r="K308" s="118"/>
      <c r="M308" s="39"/>
      <c r="N308" s="96"/>
      <c r="O308" s="40"/>
    </row>
    <row r="309" spans="2:15" ht="16.149999999999999" customHeight="1">
      <c r="B309" s="106"/>
      <c r="C309" s="41" t="s">
        <v>5</v>
      </c>
      <c r="D309" s="119" t="s">
        <v>4</v>
      </c>
      <c r="E309" s="120"/>
      <c r="F309" s="120"/>
      <c r="G309" s="120"/>
      <c r="H309" s="120"/>
      <c r="I309" s="120"/>
      <c r="J309" s="120"/>
      <c r="K309" s="121"/>
      <c r="M309" s="39"/>
      <c r="N309" s="96"/>
      <c r="O309" s="40"/>
    </row>
    <row r="310" spans="2:15" ht="17.100000000000001" customHeight="1" thickBot="1">
      <c r="B310" s="107"/>
      <c r="C310" s="43" t="s">
        <v>7</v>
      </c>
      <c r="D310" s="112" t="s">
        <v>4</v>
      </c>
      <c r="E310" s="113"/>
      <c r="F310" s="113"/>
      <c r="G310" s="113"/>
      <c r="H310" s="113"/>
      <c r="I310" s="113"/>
      <c r="J310" s="113"/>
      <c r="K310" s="114"/>
      <c r="M310" s="39"/>
      <c r="N310" s="96"/>
      <c r="O310" s="40"/>
    </row>
    <row r="311" spans="2:15" ht="16.149999999999999" thickTop="1" thickBot="1"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M311" s="39"/>
      <c r="N311" s="96"/>
      <c r="O311" s="40"/>
    </row>
    <row r="312" spans="2:15" ht="15.75" thickTop="1">
      <c r="B312" s="128" t="s">
        <v>11</v>
      </c>
      <c r="C312" s="129"/>
      <c r="D312" s="47" t="s">
        <v>12</v>
      </c>
      <c r="E312" s="88"/>
      <c r="F312" s="130" t="s">
        <v>13</v>
      </c>
      <c r="G312" s="131"/>
      <c r="H312" s="131"/>
      <c r="I312" s="131"/>
      <c r="J312" s="131"/>
      <c r="K312" s="132"/>
      <c r="M312" s="39"/>
      <c r="N312" s="90" t="s">
        <v>14</v>
      </c>
      <c r="O312" s="98"/>
    </row>
    <row r="313" spans="2:15" ht="15.75" thickBot="1">
      <c r="B313" s="133" t="s">
        <v>15</v>
      </c>
      <c r="C313" s="134"/>
      <c r="D313" s="49" t="s">
        <v>16</v>
      </c>
      <c r="E313" s="88"/>
      <c r="F313" s="50" t="s">
        <v>14</v>
      </c>
      <c r="G313" s="52" t="s">
        <v>17</v>
      </c>
      <c r="H313" s="51" t="s">
        <v>18</v>
      </c>
      <c r="I313" s="51" t="s">
        <v>19</v>
      </c>
      <c r="J313" s="52" t="s">
        <v>20</v>
      </c>
      <c r="K313" s="77" t="s">
        <v>19</v>
      </c>
      <c r="M313" s="39"/>
      <c r="N313" s="95"/>
      <c r="O313" s="99"/>
    </row>
    <row r="314" spans="2:15">
      <c r="B314" s="135">
        <f>B266</f>
        <v>0</v>
      </c>
      <c r="C314" s="136"/>
      <c r="D314" s="55">
        <f>IF(D318&lt;380, 1.15*D318, D318)</f>
        <v>0</v>
      </c>
      <c r="E314" s="88"/>
      <c r="F314" s="56" t="s">
        <v>22</v>
      </c>
      <c r="G314" s="94">
        <f>N313*1.003</f>
        <v>0</v>
      </c>
      <c r="H314" s="56" t="s">
        <v>23</v>
      </c>
      <c r="I314" s="91">
        <f>N315*0.998</f>
        <v>0</v>
      </c>
      <c r="J314" s="57" t="s">
        <v>24</v>
      </c>
      <c r="K314" s="93">
        <f>N317*0.997</f>
        <v>0</v>
      </c>
      <c r="M314" s="39"/>
      <c r="N314" s="90" t="s">
        <v>18</v>
      </c>
      <c r="O314" s="98"/>
    </row>
    <row r="315" spans="2:15" ht="15.75" thickBot="1">
      <c r="B315" s="137"/>
      <c r="C315" s="138"/>
      <c r="D315" s="55">
        <f>IF(D318&lt;380, 1.25*D318, D318)</f>
        <v>0</v>
      </c>
      <c r="E315" s="88"/>
      <c r="F315" s="56" t="s">
        <v>25</v>
      </c>
      <c r="G315" s="94">
        <f>N313*0.999</f>
        <v>0</v>
      </c>
      <c r="H315" s="56" t="s">
        <v>26</v>
      </c>
      <c r="I315" s="91">
        <f>N315*1.002</f>
        <v>0</v>
      </c>
      <c r="J315" s="57" t="s">
        <v>27</v>
      </c>
      <c r="K315" s="93">
        <f>N317*0.999</f>
        <v>0</v>
      </c>
      <c r="M315" s="39"/>
      <c r="N315" s="95"/>
      <c r="O315" s="99"/>
    </row>
    <row r="316" spans="2:15">
      <c r="B316" s="137"/>
      <c r="C316" s="138"/>
      <c r="D316" s="55">
        <f>IF(D318&lt;380, 0.6*D318, D318)</f>
        <v>0</v>
      </c>
      <c r="E316" s="88"/>
      <c r="F316" s="56" t="s">
        <v>28</v>
      </c>
      <c r="G316" s="94">
        <f>N313*1.001</f>
        <v>0</v>
      </c>
      <c r="H316" s="56" t="s">
        <v>29</v>
      </c>
      <c r="I316" s="91">
        <f>N315*0.999</f>
        <v>0</v>
      </c>
      <c r="J316" s="57" t="s">
        <v>30</v>
      </c>
      <c r="K316" s="93">
        <f>N317*0.998</f>
        <v>0</v>
      </c>
      <c r="M316" s="39"/>
      <c r="N316" s="90" t="s">
        <v>20</v>
      </c>
      <c r="O316" s="98"/>
    </row>
    <row r="317" spans="2:15" ht="15.75" thickBot="1">
      <c r="B317" s="137"/>
      <c r="C317" s="138"/>
      <c r="D317" s="49" t="s">
        <v>31</v>
      </c>
      <c r="E317" s="60"/>
      <c r="F317" s="61" t="s">
        <v>32</v>
      </c>
      <c r="G317" s="79">
        <f>10*LOG10((1/3)*(10^(0.1*G314)+10^(0.1*G315)+10^(0.1*G316)))</f>
        <v>0</v>
      </c>
      <c r="H317" s="61" t="s">
        <v>33</v>
      </c>
      <c r="I317" s="79">
        <f>10*LOG10((1/3)*(10^(0.1*I314)+10^(0.1*I315)+10^(0.1*I316)))</f>
        <v>0</v>
      </c>
      <c r="J317" s="63" t="s">
        <v>34</v>
      </c>
      <c r="K317" s="78">
        <f>(K314+K315+K316)/3</f>
        <v>0</v>
      </c>
      <c r="M317" s="39"/>
      <c r="N317" s="95"/>
      <c r="O317" s="99"/>
    </row>
    <row r="318" spans="2:15" ht="15.75" thickTop="1">
      <c r="B318" s="137"/>
      <c r="C318" s="138"/>
      <c r="D318" s="25"/>
      <c r="E318" s="60"/>
      <c r="F318" s="65"/>
      <c r="G318" s="66"/>
      <c r="H318" s="65"/>
      <c r="I318" s="66"/>
      <c r="J318" s="65"/>
      <c r="K318" s="66"/>
      <c r="M318" s="39"/>
      <c r="N318" s="96"/>
      <c r="O318" s="40"/>
    </row>
    <row r="319" spans="2:15">
      <c r="B319" s="137"/>
      <c r="C319" s="138"/>
      <c r="D319" s="67" t="s">
        <v>36</v>
      </c>
      <c r="E319" s="60"/>
      <c r="F319" s="65"/>
      <c r="G319" s="66"/>
      <c r="H319" s="65"/>
      <c r="I319" s="66"/>
      <c r="J319" s="65"/>
      <c r="K319" s="66"/>
      <c r="M319" s="39"/>
      <c r="N319" s="96"/>
      <c r="O319" s="40"/>
    </row>
    <row r="320" spans="2:15" ht="15.75" thickBot="1">
      <c r="B320" s="139"/>
      <c r="C320" s="140"/>
      <c r="D320" s="68">
        <f>D318/60</f>
        <v>0</v>
      </c>
      <c r="E320" s="60"/>
      <c r="F320" s="69"/>
      <c r="G320" s="70"/>
      <c r="H320" s="70"/>
      <c r="I320" s="70"/>
      <c r="J320" s="71"/>
      <c r="K320" s="71"/>
      <c r="M320" s="39"/>
      <c r="N320" s="96"/>
      <c r="O320" s="40"/>
    </row>
    <row r="321" spans="2:15" ht="15.75" thickTop="1">
      <c r="M321" s="39"/>
      <c r="N321" s="96"/>
      <c r="O321" s="40"/>
    </row>
    <row r="322" spans="2:15" ht="15.75" thickBot="1">
      <c r="M322" s="39"/>
      <c r="N322" s="96"/>
      <c r="O322" s="40"/>
    </row>
    <row r="323" spans="2:15" ht="27" thickTop="1" thickBot="1">
      <c r="B323" s="33" t="s">
        <v>56</v>
      </c>
      <c r="C323" s="34" t="s">
        <v>1</v>
      </c>
      <c r="D323" s="102"/>
      <c r="E323" s="103"/>
      <c r="F323" s="103"/>
      <c r="G323" s="103"/>
      <c r="H323" s="103"/>
      <c r="I323" s="103"/>
      <c r="J323" s="103"/>
      <c r="K323" s="104"/>
      <c r="M323" s="39"/>
      <c r="N323" s="96"/>
      <c r="O323" s="40"/>
    </row>
    <row r="324" spans="2:15" ht="17.100000000000001" customHeight="1" thickTop="1">
      <c r="B324" s="105" t="s">
        <v>2</v>
      </c>
      <c r="C324" s="38" t="s">
        <v>3</v>
      </c>
      <c r="D324" s="116" t="s">
        <v>4</v>
      </c>
      <c r="E324" s="117"/>
      <c r="F324" s="117"/>
      <c r="G324" s="117"/>
      <c r="H324" s="117"/>
      <c r="I324" s="117"/>
      <c r="J324" s="117"/>
      <c r="K324" s="118"/>
      <c r="M324" s="39"/>
      <c r="N324" s="96"/>
      <c r="O324" s="40"/>
    </row>
    <row r="325" spans="2:15" ht="16.149999999999999" customHeight="1">
      <c r="B325" s="106"/>
      <c r="C325" s="41" t="s">
        <v>5</v>
      </c>
      <c r="D325" s="119" t="s">
        <v>4</v>
      </c>
      <c r="E325" s="120"/>
      <c r="F325" s="120"/>
      <c r="G325" s="120"/>
      <c r="H325" s="120"/>
      <c r="I325" s="120"/>
      <c r="J325" s="120"/>
      <c r="K325" s="121"/>
      <c r="M325" s="39"/>
      <c r="N325" s="96"/>
      <c r="O325" s="40"/>
    </row>
    <row r="326" spans="2:15" ht="17.100000000000001" customHeight="1" thickBot="1">
      <c r="B326" s="107"/>
      <c r="C326" s="43" t="s">
        <v>7</v>
      </c>
      <c r="D326" s="112" t="s">
        <v>4</v>
      </c>
      <c r="E326" s="113"/>
      <c r="F326" s="113"/>
      <c r="G326" s="113"/>
      <c r="H326" s="113"/>
      <c r="I326" s="113"/>
      <c r="J326" s="113"/>
      <c r="K326" s="114"/>
      <c r="M326" s="39"/>
      <c r="N326" s="96"/>
      <c r="O326" s="40"/>
    </row>
    <row r="327" spans="2:15" ht="16.149999999999999" thickTop="1" thickBot="1"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M327" s="39"/>
      <c r="N327" s="96"/>
      <c r="O327" s="40"/>
    </row>
    <row r="328" spans="2:15" ht="15.75" thickTop="1">
      <c r="B328" s="128" t="s">
        <v>11</v>
      </c>
      <c r="C328" s="129"/>
      <c r="D328" s="47" t="s">
        <v>12</v>
      </c>
      <c r="E328" s="88"/>
      <c r="F328" s="130" t="s">
        <v>13</v>
      </c>
      <c r="G328" s="131"/>
      <c r="H328" s="131"/>
      <c r="I328" s="131"/>
      <c r="J328" s="131"/>
      <c r="K328" s="132"/>
      <c r="M328" s="39"/>
      <c r="N328" s="90" t="s">
        <v>14</v>
      </c>
      <c r="O328" s="98"/>
    </row>
    <row r="329" spans="2:15" ht="15.75" thickBot="1">
      <c r="B329" s="133" t="s">
        <v>15</v>
      </c>
      <c r="C329" s="134"/>
      <c r="D329" s="49" t="s">
        <v>16</v>
      </c>
      <c r="E329" s="88"/>
      <c r="F329" s="50" t="s">
        <v>14</v>
      </c>
      <c r="G329" s="52" t="s">
        <v>17</v>
      </c>
      <c r="H329" s="51" t="s">
        <v>18</v>
      </c>
      <c r="I329" s="51" t="s">
        <v>19</v>
      </c>
      <c r="J329" s="52" t="s">
        <v>20</v>
      </c>
      <c r="K329" s="77" t="s">
        <v>19</v>
      </c>
      <c r="M329" s="39"/>
      <c r="N329" s="95"/>
      <c r="O329" s="99"/>
    </row>
    <row r="330" spans="2:15">
      <c r="B330" s="135">
        <f>B282</f>
        <v>0</v>
      </c>
      <c r="C330" s="136"/>
      <c r="D330" s="55">
        <f>IF(D334&lt;380, 1.15*D334, D334)</f>
        <v>0</v>
      </c>
      <c r="E330" s="88"/>
      <c r="F330" s="56" t="s">
        <v>22</v>
      </c>
      <c r="G330" s="94">
        <f>N329*1.004</f>
        <v>0</v>
      </c>
      <c r="H330" s="56" t="s">
        <v>23</v>
      </c>
      <c r="I330" s="91">
        <f>N331*0.996</f>
        <v>0</v>
      </c>
      <c r="J330" s="57" t="s">
        <v>24</v>
      </c>
      <c r="K330" s="93">
        <f>N333*1.002</f>
        <v>0</v>
      </c>
      <c r="M330" s="39"/>
      <c r="N330" s="90" t="s">
        <v>18</v>
      </c>
      <c r="O330" s="98"/>
    </row>
    <row r="331" spans="2:15" ht="15.75" thickBot="1">
      <c r="B331" s="137"/>
      <c r="C331" s="138"/>
      <c r="D331" s="55">
        <f>IF(D334&lt;380, 1.05*D334, D334)</f>
        <v>0</v>
      </c>
      <c r="E331" s="88"/>
      <c r="F331" s="56" t="s">
        <v>25</v>
      </c>
      <c r="G331" s="94">
        <f>N329*1.001</f>
        <v>0</v>
      </c>
      <c r="H331" s="56" t="s">
        <v>26</v>
      </c>
      <c r="I331" s="91">
        <f>N331*0.999</f>
        <v>0</v>
      </c>
      <c r="J331" s="57" t="s">
        <v>27</v>
      </c>
      <c r="K331" s="93">
        <f>N333*1.004</f>
        <v>0</v>
      </c>
      <c r="M331" s="39"/>
      <c r="N331" s="95"/>
      <c r="O331" s="99"/>
    </row>
    <row r="332" spans="2:15">
      <c r="B332" s="137"/>
      <c r="C332" s="138"/>
      <c r="D332" s="55">
        <f>IF(D334&lt;380, 0.8*D334, D334)</f>
        <v>0</v>
      </c>
      <c r="E332" s="88"/>
      <c r="F332" s="56" t="s">
        <v>28</v>
      </c>
      <c r="G332" s="94">
        <f>N329*1.003</f>
        <v>0</v>
      </c>
      <c r="H332" s="56" t="s">
        <v>29</v>
      </c>
      <c r="I332" s="91">
        <f>N331*0.997</f>
        <v>0</v>
      </c>
      <c r="J332" s="57" t="s">
        <v>30</v>
      </c>
      <c r="K332" s="93">
        <f>N333*1.001</f>
        <v>0</v>
      </c>
      <c r="M332" s="39"/>
      <c r="N332" s="90" t="s">
        <v>20</v>
      </c>
      <c r="O332" s="98"/>
    </row>
    <row r="333" spans="2:15" ht="15.75" thickBot="1">
      <c r="B333" s="137"/>
      <c r="C333" s="138"/>
      <c r="D333" s="49" t="s">
        <v>31</v>
      </c>
      <c r="E333" s="60"/>
      <c r="F333" s="61" t="s">
        <v>32</v>
      </c>
      <c r="G333" s="79">
        <f>10*LOG10((1/3)*(10^(0.1*G330)+10^(0.1*G331)+10^(0.1*G332)))</f>
        <v>0</v>
      </c>
      <c r="H333" s="61" t="s">
        <v>33</v>
      </c>
      <c r="I333" s="79">
        <f>10*LOG10((1/3)*(10^(0.1*I330)+10^(0.1*I331)+10^(0.1*I332)))</f>
        <v>0</v>
      </c>
      <c r="J333" s="63" t="s">
        <v>34</v>
      </c>
      <c r="K333" s="78">
        <f>(K330+K331+K332)/3</f>
        <v>0</v>
      </c>
      <c r="M333" s="39"/>
      <c r="N333" s="95"/>
      <c r="O333" s="99"/>
    </row>
    <row r="334" spans="2:15" ht="15.75" thickTop="1">
      <c r="B334" s="137"/>
      <c r="C334" s="138"/>
      <c r="D334" s="25"/>
      <c r="E334" s="60"/>
      <c r="F334" s="65"/>
      <c r="G334" s="66"/>
      <c r="H334" s="65"/>
      <c r="I334" s="66"/>
      <c r="J334" s="65"/>
      <c r="K334" s="66"/>
      <c r="M334" s="39"/>
      <c r="N334" s="96"/>
      <c r="O334" s="40"/>
    </row>
    <row r="335" spans="2:15">
      <c r="B335" s="137"/>
      <c r="C335" s="138"/>
      <c r="D335" s="67" t="s">
        <v>36</v>
      </c>
      <c r="E335" s="60"/>
      <c r="F335" s="65"/>
      <c r="G335" s="66"/>
      <c r="H335" s="65"/>
      <c r="I335" s="66"/>
      <c r="J335" s="65"/>
      <c r="K335" s="66"/>
      <c r="M335" s="39"/>
      <c r="N335" s="96"/>
      <c r="O335" s="40"/>
    </row>
    <row r="336" spans="2:15" ht="15.75" thickBot="1">
      <c r="B336" s="139"/>
      <c r="C336" s="140"/>
      <c r="D336" s="68">
        <f>D334/60</f>
        <v>0</v>
      </c>
      <c r="E336" s="60"/>
      <c r="F336" s="69"/>
      <c r="G336" s="70"/>
      <c r="H336" s="70"/>
      <c r="I336" s="70"/>
      <c r="J336" s="71"/>
      <c r="K336" s="71"/>
      <c r="M336" s="39"/>
      <c r="N336" s="96"/>
      <c r="O336" s="40"/>
    </row>
    <row r="337" spans="2:15" ht="15.75" thickTop="1">
      <c r="M337" s="39"/>
      <c r="N337" s="96"/>
      <c r="O337" s="40"/>
    </row>
    <row r="338" spans="2:15" ht="15.75" thickBot="1">
      <c r="M338" s="39"/>
      <c r="N338" s="96"/>
      <c r="O338" s="40"/>
    </row>
    <row r="339" spans="2:15" ht="27" thickTop="1" thickBot="1">
      <c r="B339" s="33" t="s">
        <v>57</v>
      </c>
      <c r="C339" s="34" t="s">
        <v>1</v>
      </c>
      <c r="D339" s="102"/>
      <c r="E339" s="103"/>
      <c r="F339" s="103"/>
      <c r="G339" s="103"/>
      <c r="H339" s="103"/>
      <c r="I339" s="103"/>
      <c r="J339" s="103"/>
      <c r="K339" s="104"/>
      <c r="M339" s="39"/>
      <c r="N339" s="96"/>
      <c r="O339" s="40"/>
    </row>
    <row r="340" spans="2:15" ht="17.100000000000001" customHeight="1" thickTop="1">
      <c r="B340" s="105" t="s">
        <v>2</v>
      </c>
      <c r="C340" s="38" t="s">
        <v>3</v>
      </c>
      <c r="D340" s="116" t="s">
        <v>4</v>
      </c>
      <c r="E340" s="117"/>
      <c r="F340" s="117"/>
      <c r="G340" s="117"/>
      <c r="H340" s="117"/>
      <c r="I340" s="117"/>
      <c r="J340" s="117"/>
      <c r="K340" s="118"/>
      <c r="M340" s="39"/>
      <c r="N340" s="96"/>
      <c r="O340" s="40"/>
    </row>
    <row r="341" spans="2:15" ht="16.149999999999999" customHeight="1">
      <c r="B341" s="106"/>
      <c r="C341" s="41" t="s">
        <v>5</v>
      </c>
      <c r="D341" s="119" t="s">
        <v>4</v>
      </c>
      <c r="E341" s="120"/>
      <c r="F341" s="120"/>
      <c r="G341" s="120"/>
      <c r="H341" s="120"/>
      <c r="I341" s="120"/>
      <c r="J341" s="120"/>
      <c r="K341" s="121"/>
      <c r="M341" s="39"/>
      <c r="N341" s="96"/>
      <c r="O341" s="40"/>
    </row>
    <row r="342" spans="2:15" ht="17.100000000000001" customHeight="1" thickBot="1">
      <c r="B342" s="107"/>
      <c r="C342" s="43" t="s">
        <v>7</v>
      </c>
      <c r="D342" s="112" t="s">
        <v>4</v>
      </c>
      <c r="E342" s="113"/>
      <c r="F342" s="113"/>
      <c r="G342" s="113"/>
      <c r="H342" s="113"/>
      <c r="I342" s="113"/>
      <c r="J342" s="113"/>
      <c r="K342" s="114"/>
      <c r="M342" s="39"/>
      <c r="N342" s="96"/>
      <c r="O342" s="40"/>
    </row>
    <row r="343" spans="2:15" ht="16.149999999999999" thickTop="1" thickBot="1"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M343" s="39"/>
      <c r="N343" s="96"/>
      <c r="O343" s="40"/>
    </row>
    <row r="344" spans="2:15" ht="15.75" thickTop="1">
      <c r="B344" s="128" t="s">
        <v>11</v>
      </c>
      <c r="C344" s="129"/>
      <c r="D344" s="47" t="s">
        <v>12</v>
      </c>
      <c r="E344" s="88"/>
      <c r="F344" s="130" t="s">
        <v>13</v>
      </c>
      <c r="G344" s="131"/>
      <c r="H344" s="131"/>
      <c r="I344" s="131"/>
      <c r="J344" s="131"/>
      <c r="K344" s="132"/>
      <c r="M344" s="39"/>
      <c r="N344" s="90" t="s">
        <v>14</v>
      </c>
      <c r="O344" s="98"/>
    </row>
    <row r="345" spans="2:15" ht="15.75" thickBot="1">
      <c r="B345" s="133" t="s">
        <v>15</v>
      </c>
      <c r="C345" s="134"/>
      <c r="D345" s="49" t="s">
        <v>16</v>
      </c>
      <c r="E345" s="88"/>
      <c r="F345" s="50" t="s">
        <v>14</v>
      </c>
      <c r="G345" s="52" t="s">
        <v>17</v>
      </c>
      <c r="H345" s="51" t="s">
        <v>18</v>
      </c>
      <c r="I345" s="51" t="s">
        <v>19</v>
      </c>
      <c r="J345" s="52" t="s">
        <v>20</v>
      </c>
      <c r="K345" s="77" t="s">
        <v>19</v>
      </c>
      <c r="M345" s="39"/>
      <c r="N345" s="95"/>
      <c r="O345" s="99"/>
    </row>
    <row r="346" spans="2:15">
      <c r="B346" s="135">
        <f>B330</f>
        <v>0</v>
      </c>
      <c r="C346" s="136"/>
      <c r="D346" s="55">
        <f>IF(D350&lt;380, 1.05*D350, D350)</f>
        <v>0</v>
      </c>
      <c r="E346" s="88"/>
      <c r="F346" s="56" t="s">
        <v>22</v>
      </c>
      <c r="G346" s="94">
        <f>N345*1.002</f>
        <v>0</v>
      </c>
      <c r="H346" s="56" t="s">
        <v>23</v>
      </c>
      <c r="I346" s="91">
        <f>N347*0.998</f>
        <v>0</v>
      </c>
      <c r="J346" s="57" t="s">
        <v>24</v>
      </c>
      <c r="K346" s="93">
        <f>N349*0.996</f>
        <v>0</v>
      </c>
      <c r="M346" s="39"/>
      <c r="N346" s="90" t="s">
        <v>18</v>
      </c>
      <c r="O346" s="98"/>
    </row>
    <row r="347" spans="2:15" ht="15.75" thickBot="1">
      <c r="B347" s="137"/>
      <c r="C347" s="138"/>
      <c r="D347" s="55">
        <f>IF(D350&lt;380, 1.2*D350, D350)</f>
        <v>0</v>
      </c>
      <c r="E347" s="88"/>
      <c r="F347" s="56" t="s">
        <v>25</v>
      </c>
      <c r="G347" s="94">
        <f>N345*0.997</f>
        <v>0</v>
      </c>
      <c r="H347" s="56" t="s">
        <v>26</v>
      </c>
      <c r="I347" s="91">
        <f>N347*1.003</f>
        <v>0</v>
      </c>
      <c r="J347" s="57" t="s">
        <v>27</v>
      </c>
      <c r="K347" s="93">
        <f>N349*0.999</f>
        <v>0</v>
      </c>
      <c r="M347" s="39"/>
      <c r="N347" s="95"/>
      <c r="O347" s="99"/>
    </row>
    <row r="348" spans="2:15">
      <c r="B348" s="137"/>
      <c r="C348" s="138"/>
      <c r="D348" s="55">
        <f>IF(D350&lt;380, 0.75*D350, D350)</f>
        <v>0</v>
      </c>
      <c r="E348" s="88"/>
      <c r="F348" s="56" t="s">
        <v>28</v>
      </c>
      <c r="G348" s="94">
        <f>N345*0.999</f>
        <v>0</v>
      </c>
      <c r="H348" s="56" t="s">
        <v>29</v>
      </c>
      <c r="I348" s="91">
        <f>N347*1.002</f>
        <v>0</v>
      </c>
      <c r="J348" s="57" t="s">
        <v>30</v>
      </c>
      <c r="K348" s="93">
        <f>N349*1.003</f>
        <v>0</v>
      </c>
      <c r="M348" s="39"/>
      <c r="N348" s="90" t="s">
        <v>20</v>
      </c>
      <c r="O348" s="98"/>
    </row>
    <row r="349" spans="2:15" ht="15.75" thickBot="1">
      <c r="B349" s="137"/>
      <c r="C349" s="138"/>
      <c r="D349" s="49" t="s">
        <v>31</v>
      </c>
      <c r="E349" s="60"/>
      <c r="F349" s="61" t="s">
        <v>32</v>
      </c>
      <c r="G349" s="79">
        <f>10*LOG10((1/3)*(10^(0.1*G346)+10^(0.1*G347)+10^(0.1*G348)))</f>
        <v>0</v>
      </c>
      <c r="H349" s="61" t="s">
        <v>33</v>
      </c>
      <c r="I349" s="79">
        <f>10*LOG10((1/3)*(10^(0.1*I346)+10^(0.1*I347)+10^(0.1*I348)))</f>
        <v>0</v>
      </c>
      <c r="J349" s="63" t="s">
        <v>34</v>
      </c>
      <c r="K349" s="78">
        <f>(K346+K347+K348)/3</f>
        <v>0</v>
      </c>
      <c r="M349" s="39"/>
      <c r="N349" s="95"/>
      <c r="O349" s="99"/>
    </row>
    <row r="350" spans="2:15" ht="15.75" thickTop="1">
      <c r="B350" s="137"/>
      <c r="C350" s="138"/>
      <c r="D350" s="25"/>
      <c r="E350" s="60"/>
      <c r="F350" s="65"/>
      <c r="G350" s="66"/>
      <c r="H350" s="65"/>
      <c r="I350" s="66"/>
      <c r="J350" s="65"/>
      <c r="K350" s="66"/>
      <c r="M350" s="39"/>
      <c r="N350" s="96"/>
      <c r="O350" s="40"/>
    </row>
    <row r="351" spans="2:15">
      <c r="B351" s="137"/>
      <c r="C351" s="138"/>
      <c r="D351" s="67" t="s">
        <v>36</v>
      </c>
      <c r="E351" s="60"/>
      <c r="F351" s="65"/>
      <c r="G351" s="66"/>
      <c r="H351" s="65"/>
      <c r="I351" s="66"/>
      <c r="J351" s="65"/>
      <c r="K351" s="66"/>
      <c r="M351" s="39"/>
      <c r="N351" s="96"/>
      <c r="O351" s="40"/>
    </row>
    <row r="352" spans="2:15" ht="15.75" thickBot="1">
      <c r="B352" s="139"/>
      <c r="C352" s="140"/>
      <c r="D352" s="68">
        <f>D350/60</f>
        <v>0</v>
      </c>
      <c r="E352" s="60"/>
      <c r="F352" s="69"/>
      <c r="G352" s="70"/>
      <c r="H352" s="70"/>
      <c r="I352" s="70"/>
      <c r="J352" s="71"/>
      <c r="K352" s="71"/>
      <c r="M352" s="39"/>
      <c r="N352" s="96"/>
      <c r="O352" s="40"/>
    </row>
    <row r="353" spans="2:15" ht="15.75" thickTop="1">
      <c r="M353" s="39"/>
      <c r="N353" s="96"/>
      <c r="O353" s="40"/>
    </row>
    <row r="354" spans="2:15" ht="15.75" thickBot="1">
      <c r="M354" s="39"/>
      <c r="N354" s="96"/>
      <c r="O354" s="40"/>
    </row>
    <row r="355" spans="2:15" ht="27" thickTop="1" thickBot="1">
      <c r="B355" s="33" t="s">
        <v>58</v>
      </c>
      <c r="C355" s="34" t="s">
        <v>1</v>
      </c>
      <c r="D355" s="102"/>
      <c r="E355" s="103"/>
      <c r="F355" s="103"/>
      <c r="G355" s="103"/>
      <c r="H355" s="103"/>
      <c r="I355" s="103"/>
      <c r="J355" s="103"/>
      <c r="K355" s="104"/>
      <c r="M355" s="39"/>
      <c r="N355" s="96"/>
      <c r="O355" s="40"/>
    </row>
    <row r="356" spans="2:15" ht="17.100000000000001" customHeight="1" thickTop="1">
      <c r="B356" s="105" t="s">
        <v>2</v>
      </c>
      <c r="C356" s="38" t="s">
        <v>3</v>
      </c>
      <c r="D356" s="116" t="s">
        <v>4</v>
      </c>
      <c r="E356" s="117"/>
      <c r="F356" s="117"/>
      <c r="G356" s="117"/>
      <c r="H356" s="117"/>
      <c r="I356" s="117"/>
      <c r="J356" s="117"/>
      <c r="K356" s="118"/>
      <c r="M356" s="39"/>
      <c r="N356" s="96"/>
      <c r="O356" s="40"/>
    </row>
    <row r="357" spans="2:15" ht="16.149999999999999" customHeight="1">
      <c r="B357" s="106"/>
      <c r="C357" s="41" t="s">
        <v>5</v>
      </c>
      <c r="D357" s="119" t="s">
        <v>4</v>
      </c>
      <c r="E357" s="120"/>
      <c r="F357" s="120"/>
      <c r="G357" s="120"/>
      <c r="H357" s="120"/>
      <c r="I357" s="120"/>
      <c r="J357" s="120"/>
      <c r="K357" s="121"/>
      <c r="M357" s="39"/>
      <c r="N357" s="96"/>
      <c r="O357" s="40"/>
    </row>
    <row r="358" spans="2:15" ht="17.100000000000001" customHeight="1" thickBot="1">
      <c r="B358" s="107"/>
      <c r="C358" s="43" t="s">
        <v>7</v>
      </c>
      <c r="D358" s="112" t="s">
        <v>4</v>
      </c>
      <c r="E358" s="113"/>
      <c r="F358" s="113"/>
      <c r="G358" s="113"/>
      <c r="H358" s="113"/>
      <c r="I358" s="113"/>
      <c r="J358" s="113"/>
      <c r="K358" s="114"/>
      <c r="M358" s="39"/>
      <c r="N358" s="96"/>
      <c r="O358" s="40"/>
    </row>
    <row r="359" spans="2:15" ht="16.149999999999999" thickTop="1" thickBot="1"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M359" s="39"/>
      <c r="N359" s="96"/>
      <c r="O359" s="40"/>
    </row>
    <row r="360" spans="2:15" ht="15.75" thickTop="1">
      <c r="B360" s="128" t="s">
        <v>11</v>
      </c>
      <c r="C360" s="129"/>
      <c r="D360" s="47" t="s">
        <v>12</v>
      </c>
      <c r="E360" s="88"/>
      <c r="F360" s="130" t="s">
        <v>13</v>
      </c>
      <c r="G360" s="131"/>
      <c r="H360" s="131"/>
      <c r="I360" s="131"/>
      <c r="J360" s="131"/>
      <c r="K360" s="132"/>
      <c r="M360" s="39"/>
      <c r="N360" s="90" t="s">
        <v>14</v>
      </c>
      <c r="O360" s="98"/>
    </row>
    <row r="361" spans="2:15" ht="15.75" thickBot="1">
      <c r="B361" s="133" t="s">
        <v>15</v>
      </c>
      <c r="C361" s="134"/>
      <c r="D361" s="49" t="s">
        <v>16</v>
      </c>
      <c r="E361" s="88"/>
      <c r="F361" s="50" t="s">
        <v>14</v>
      </c>
      <c r="G361" s="52" t="s">
        <v>17</v>
      </c>
      <c r="H361" s="51" t="s">
        <v>18</v>
      </c>
      <c r="I361" s="51" t="s">
        <v>19</v>
      </c>
      <c r="J361" s="52" t="s">
        <v>20</v>
      </c>
      <c r="K361" s="77" t="s">
        <v>19</v>
      </c>
      <c r="M361" s="39"/>
      <c r="N361" s="95"/>
      <c r="O361" s="99"/>
    </row>
    <row r="362" spans="2:15">
      <c r="B362" s="135">
        <f>B314</f>
        <v>0</v>
      </c>
      <c r="C362" s="136"/>
      <c r="D362" s="55">
        <f>IF(D366&lt;380, 0.95*D366, D366)</f>
        <v>0</v>
      </c>
      <c r="E362" s="88"/>
      <c r="F362" s="56" t="s">
        <v>22</v>
      </c>
      <c r="G362" s="94">
        <f>N361*1.003</f>
        <v>0</v>
      </c>
      <c r="H362" s="56" t="s">
        <v>23</v>
      </c>
      <c r="I362" s="91">
        <f>N363*1.002</f>
        <v>0</v>
      </c>
      <c r="J362" s="57" t="s">
        <v>24</v>
      </c>
      <c r="K362" s="93">
        <f>N365*0.995</f>
        <v>0</v>
      </c>
      <c r="M362" s="39"/>
      <c r="N362" s="90" t="s">
        <v>18</v>
      </c>
      <c r="O362" s="98"/>
    </row>
    <row r="363" spans="2:15" ht="15.75" thickBot="1">
      <c r="B363" s="137"/>
      <c r="C363" s="138"/>
      <c r="D363" s="55">
        <f>IF(D366&lt;380, 1.25*D366, D366)</f>
        <v>0</v>
      </c>
      <c r="E363" s="88"/>
      <c r="F363" s="56" t="s">
        <v>25</v>
      </c>
      <c r="G363" s="94">
        <f>N361*1.004</f>
        <v>0</v>
      </c>
      <c r="H363" s="56" t="s">
        <v>26</v>
      </c>
      <c r="I363" s="91">
        <f>N363*0.998</f>
        <v>0</v>
      </c>
      <c r="J363" s="57" t="s">
        <v>27</v>
      </c>
      <c r="K363" s="93">
        <f>N365*0.999</f>
        <v>0</v>
      </c>
      <c r="M363" s="39"/>
      <c r="N363" s="95"/>
      <c r="O363" s="99"/>
    </row>
    <row r="364" spans="2:15">
      <c r="B364" s="137"/>
      <c r="C364" s="138"/>
      <c r="D364" s="55">
        <f>IF(D366&lt;380, 0.8*D366, D366)</f>
        <v>0</v>
      </c>
      <c r="E364" s="88"/>
      <c r="F364" s="56" t="s">
        <v>28</v>
      </c>
      <c r="G364" s="94">
        <f>N361*0.999</f>
        <v>0</v>
      </c>
      <c r="H364" s="56" t="s">
        <v>29</v>
      </c>
      <c r="I364" s="91">
        <f>N363*0.997</f>
        <v>0</v>
      </c>
      <c r="J364" s="57" t="s">
        <v>30</v>
      </c>
      <c r="K364" s="93">
        <f>N365*0.997</f>
        <v>0</v>
      </c>
      <c r="M364" s="39"/>
      <c r="N364" s="90" t="s">
        <v>20</v>
      </c>
      <c r="O364" s="98"/>
    </row>
    <row r="365" spans="2:15" ht="15.75" thickBot="1">
      <c r="B365" s="137"/>
      <c r="C365" s="138"/>
      <c r="D365" s="49" t="s">
        <v>31</v>
      </c>
      <c r="E365" s="60"/>
      <c r="F365" s="61" t="s">
        <v>32</v>
      </c>
      <c r="G365" s="79">
        <f>10*LOG10((1/3)*(10^(0.1*G362)+10^(0.1*G363)+10^(0.1*G364)))</f>
        <v>0</v>
      </c>
      <c r="H365" s="61" t="s">
        <v>33</v>
      </c>
      <c r="I365" s="79">
        <f>10*LOG10((1/3)*(10^(0.1*I362)+10^(0.1*I363)+10^(0.1*I364)))</f>
        <v>0</v>
      </c>
      <c r="J365" s="63" t="s">
        <v>34</v>
      </c>
      <c r="K365" s="78">
        <f>(K362+K363+K364)/3</f>
        <v>0</v>
      </c>
      <c r="M365" s="39"/>
      <c r="N365" s="95"/>
      <c r="O365" s="99"/>
    </row>
    <row r="366" spans="2:15" ht="15.75" thickTop="1">
      <c r="B366" s="137"/>
      <c r="C366" s="138"/>
      <c r="D366" s="25"/>
      <c r="E366" s="60"/>
      <c r="F366" s="65"/>
      <c r="G366" s="66"/>
      <c r="H366" s="65"/>
      <c r="I366" s="66"/>
      <c r="J366" s="65"/>
      <c r="K366" s="66"/>
      <c r="M366" s="39"/>
      <c r="N366" s="96"/>
      <c r="O366" s="40"/>
    </row>
    <row r="367" spans="2:15">
      <c r="B367" s="137"/>
      <c r="C367" s="138"/>
      <c r="D367" s="67" t="s">
        <v>36</v>
      </c>
      <c r="E367" s="60"/>
      <c r="F367" s="65"/>
      <c r="G367" s="66"/>
      <c r="H367" s="65"/>
      <c r="I367" s="66"/>
      <c r="J367" s="65"/>
      <c r="K367" s="66"/>
      <c r="M367" s="39"/>
      <c r="N367" s="96"/>
      <c r="O367" s="40"/>
    </row>
    <row r="368" spans="2:15" ht="15.75" thickBot="1">
      <c r="B368" s="139"/>
      <c r="C368" s="140"/>
      <c r="D368" s="68">
        <f>D366/60</f>
        <v>0</v>
      </c>
      <c r="E368" s="60"/>
      <c r="F368" s="69"/>
      <c r="G368" s="70"/>
      <c r="H368" s="70"/>
      <c r="I368" s="70"/>
      <c r="J368" s="71"/>
      <c r="K368" s="71"/>
      <c r="M368" s="39"/>
      <c r="N368" s="96"/>
      <c r="O368" s="40"/>
    </row>
    <row r="369" spans="2:15" ht="15.75" thickTop="1">
      <c r="M369" s="39"/>
      <c r="N369" s="96"/>
      <c r="O369" s="40"/>
    </row>
    <row r="370" spans="2:15" ht="15.75" thickBot="1">
      <c r="M370" s="39"/>
      <c r="N370" s="96"/>
      <c r="O370" s="40"/>
    </row>
    <row r="371" spans="2:15" ht="27" thickTop="1" thickBot="1">
      <c r="B371" s="33" t="s">
        <v>59</v>
      </c>
      <c r="C371" s="34" t="s">
        <v>1</v>
      </c>
      <c r="D371" s="102"/>
      <c r="E371" s="103"/>
      <c r="F371" s="103"/>
      <c r="G371" s="103"/>
      <c r="H371" s="103"/>
      <c r="I371" s="103"/>
      <c r="J371" s="103"/>
      <c r="K371" s="104"/>
      <c r="M371" s="39"/>
      <c r="N371" s="96"/>
      <c r="O371" s="40"/>
    </row>
    <row r="372" spans="2:15" ht="17.100000000000001" customHeight="1" thickTop="1">
      <c r="B372" s="105" t="s">
        <v>2</v>
      </c>
      <c r="C372" s="38" t="s">
        <v>3</v>
      </c>
      <c r="D372" s="116" t="s">
        <v>4</v>
      </c>
      <c r="E372" s="117"/>
      <c r="F372" s="117"/>
      <c r="G372" s="117"/>
      <c r="H372" s="117"/>
      <c r="I372" s="117"/>
      <c r="J372" s="117"/>
      <c r="K372" s="118"/>
      <c r="M372" s="39"/>
      <c r="N372" s="96"/>
      <c r="O372" s="40"/>
    </row>
    <row r="373" spans="2:15" ht="16.149999999999999" customHeight="1">
      <c r="B373" s="106"/>
      <c r="C373" s="41" t="s">
        <v>5</v>
      </c>
      <c r="D373" s="119" t="s">
        <v>4</v>
      </c>
      <c r="E373" s="120"/>
      <c r="F373" s="120"/>
      <c r="G373" s="120"/>
      <c r="H373" s="120"/>
      <c r="I373" s="120"/>
      <c r="J373" s="120"/>
      <c r="K373" s="121"/>
      <c r="M373" s="39"/>
      <c r="N373" s="96"/>
      <c r="O373" s="40"/>
    </row>
    <row r="374" spans="2:15" ht="17.100000000000001" customHeight="1" thickBot="1">
      <c r="B374" s="107"/>
      <c r="C374" s="43" t="s">
        <v>7</v>
      </c>
      <c r="D374" s="112" t="s">
        <v>4</v>
      </c>
      <c r="E374" s="113"/>
      <c r="F374" s="113"/>
      <c r="G374" s="113"/>
      <c r="H374" s="113"/>
      <c r="I374" s="113"/>
      <c r="J374" s="113"/>
      <c r="K374" s="114"/>
      <c r="M374" s="39"/>
      <c r="N374" s="96"/>
      <c r="O374" s="40"/>
    </row>
    <row r="375" spans="2:15" ht="16.149999999999999" thickTop="1" thickBot="1"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M375" s="39"/>
      <c r="N375" s="96"/>
      <c r="O375" s="40"/>
    </row>
    <row r="376" spans="2:15" ht="15.75" thickTop="1">
      <c r="B376" s="128" t="s">
        <v>11</v>
      </c>
      <c r="C376" s="129"/>
      <c r="D376" s="47" t="s">
        <v>12</v>
      </c>
      <c r="E376" s="88"/>
      <c r="F376" s="130" t="s">
        <v>13</v>
      </c>
      <c r="G376" s="131"/>
      <c r="H376" s="131"/>
      <c r="I376" s="131"/>
      <c r="J376" s="131"/>
      <c r="K376" s="132"/>
      <c r="M376" s="39"/>
      <c r="N376" s="90" t="s">
        <v>14</v>
      </c>
      <c r="O376" s="98"/>
    </row>
    <row r="377" spans="2:15" ht="15.75" thickBot="1">
      <c r="B377" s="133" t="s">
        <v>15</v>
      </c>
      <c r="C377" s="134"/>
      <c r="D377" s="49" t="s">
        <v>16</v>
      </c>
      <c r="E377" s="88"/>
      <c r="F377" s="50" t="s">
        <v>14</v>
      </c>
      <c r="G377" s="52" t="s">
        <v>17</v>
      </c>
      <c r="H377" s="51" t="s">
        <v>18</v>
      </c>
      <c r="I377" s="51" t="s">
        <v>19</v>
      </c>
      <c r="J377" s="52" t="s">
        <v>20</v>
      </c>
      <c r="K377" s="77" t="s">
        <v>19</v>
      </c>
      <c r="M377" s="39"/>
      <c r="N377" s="95"/>
      <c r="O377" s="99"/>
    </row>
    <row r="378" spans="2:15">
      <c r="B378" s="135">
        <f>B330</f>
        <v>0</v>
      </c>
      <c r="C378" s="136"/>
      <c r="D378" s="55">
        <f>IF(D382&lt;380, 0.85*D382, D382)</f>
        <v>0</v>
      </c>
      <c r="E378" s="88"/>
      <c r="F378" s="56" t="s">
        <v>22</v>
      </c>
      <c r="G378" s="94">
        <f>N377*1.005</f>
        <v>0</v>
      </c>
      <c r="H378" s="56" t="s">
        <v>23</v>
      </c>
      <c r="I378" s="91">
        <f>N379*1.003</f>
        <v>0</v>
      </c>
      <c r="J378" s="57" t="s">
        <v>24</v>
      </c>
      <c r="K378" s="93">
        <f>N381*0.996</f>
        <v>0</v>
      </c>
      <c r="M378" s="39"/>
      <c r="N378" s="90" t="s">
        <v>18</v>
      </c>
      <c r="O378" s="98"/>
    </row>
    <row r="379" spans="2:15" ht="15.75" thickBot="1">
      <c r="B379" s="137"/>
      <c r="C379" s="138"/>
      <c r="D379" s="55">
        <f>IF(D382&lt;380, 1.1*D382, D382)</f>
        <v>0</v>
      </c>
      <c r="E379" s="88"/>
      <c r="F379" s="56" t="s">
        <v>25</v>
      </c>
      <c r="G379" s="94">
        <f>N377*1.004</f>
        <v>0</v>
      </c>
      <c r="H379" s="56" t="s">
        <v>26</v>
      </c>
      <c r="I379" s="91">
        <f>N379*1.001</f>
        <v>0</v>
      </c>
      <c r="J379" s="57" t="s">
        <v>27</v>
      </c>
      <c r="K379" s="93">
        <f>N381*0.995</f>
        <v>0</v>
      </c>
      <c r="M379" s="39"/>
      <c r="N379" s="95"/>
      <c r="O379" s="99"/>
    </row>
    <row r="380" spans="2:15">
      <c r="B380" s="137"/>
      <c r="C380" s="138"/>
      <c r="D380" s="55">
        <f>IF(D382&lt;380, 1.05*D382, D382)</f>
        <v>0</v>
      </c>
      <c r="E380" s="88"/>
      <c r="F380" s="56" t="s">
        <v>28</v>
      </c>
      <c r="G380" s="94">
        <f>N377*0.998</f>
        <v>0</v>
      </c>
      <c r="H380" s="56" t="s">
        <v>29</v>
      </c>
      <c r="I380" s="91">
        <f>N379*0.999</f>
        <v>0</v>
      </c>
      <c r="J380" s="57" t="s">
        <v>30</v>
      </c>
      <c r="K380" s="93">
        <f>N381*0.998</f>
        <v>0</v>
      </c>
      <c r="M380" s="39"/>
      <c r="N380" s="90" t="s">
        <v>20</v>
      </c>
      <c r="O380" s="98"/>
    </row>
    <row r="381" spans="2:15" ht="15.75" thickBot="1">
      <c r="B381" s="137"/>
      <c r="C381" s="138"/>
      <c r="D381" s="49" t="s">
        <v>31</v>
      </c>
      <c r="E381" s="60"/>
      <c r="F381" s="61" t="s">
        <v>32</v>
      </c>
      <c r="G381" s="79">
        <f>10*LOG10((1/3)*(10^(0.1*G378)+10^(0.1*G379)+10^(0.1*G380)))</f>
        <v>0</v>
      </c>
      <c r="H381" s="61" t="s">
        <v>33</v>
      </c>
      <c r="I381" s="79">
        <f>10*LOG10((1/3)*(10^(0.1*I378)+10^(0.1*I379)+10^(0.1*I380)))</f>
        <v>0</v>
      </c>
      <c r="J381" s="63" t="s">
        <v>34</v>
      </c>
      <c r="K381" s="78">
        <f>(K378+K379+K380)/3</f>
        <v>0</v>
      </c>
      <c r="M381" s="39"/>
      <c r="N381" s="95"/>
      <c r="O381" s="99"/>
    </row>
    <row r="382" spans="2:15" ht="15.75" thickTop="1">
      <c r="B382" s="137"/>
      <c r="C382" s="138"/>
      <c r="D382" s="25"/>
      <c r="E382" s="60"/>
      <c r="F382" s="65"/>
      <c r="G382" s="66"/>
      <c r="H382" s="65"/>
      <c r="I382" s="66"/>
      <c r="J382" s="65"/>
      <c r="K382" s="66"/>
      <c r="M382" s="39"/>
      <c r="N382" s="96"/>
      <c r="O382" s="40"/>
    </row>
    <row r="383" spans="2:15">
      <c r="B383" s="137"/>
      <c r="C383" s="138"/>
      <c r="D383" s="67" t="s">
        <v>36</v>
      </c>
      <c r="E383" s="60"/>
      <c r="F383" s="65"/>
      <c r="G383" s="66"/>
      <c r="H383" s="65"/>
      <c r="I383" s="66"/>
      <c r="J383" s="65"/>
      <c r="K383" s="66"/>
      <c r="M383" s="39"/>
      <c r="N383" s="96"/>
      <c r="O383" s="40"/>
    </row>
    <row r="384" spans="2:15" ht="15.75" thickBot="1">
      <c r="B384" s="139"/>
      <c r="C384" s="140"/>
      <c r="D384" s="68">
        <f>D382/60</f>
        <v>0</v>
      </c>
      <c r="E384" s="60"/>
      <c r="F384" s="69"/>
      <c r="G384" s="70"/>
      <c r="H384" s="70"/>
      <c r="I384" s="70"/>
      <c r="J384" s="71"/>
      <c r="K384" s="71"/>
      <c r="M384" s="39"/>
      <c r="N384" s="96"/>
      <c r="O384" s="40"/>
    </row>
    <row r="385" spans="2:15" ht="15.75" thickTop="1">
      <c r="M385" s="39"/>
      <c r="N385" s="96"/>
      <c r="O385" s="40"/>
    </row>
    <row r="386" spans="2:15" ht="15.75" thickBot="1">
      <c r="M386" s="39"/>
      <c r="N386" s="96"/>
      <c r="O386" s="40"/>
    </row>
    <row r="387" spans="2:15" ht="27" thickTop="1" thickBot="1">
      <c r="B387" s="33" t="s">
        <v>60</v>
      </c>
      <c r="C387" s="34" t="s">
        <v>1</v>
      </c>
      <c r="D387" s="102"/>
      <c r="E387" s="103"/>
      <c r="F387" s="103"/>
      <c r="G387" s="103"/>
      <c r="H387" s="103"/>
      <c r="I387" s="103"/>
      <c r="J387" s="103"/>
      <c r="K387" s="104"/>
      <c r="M387" s="39"/>
      <c r="N387" s="96"/>
      <c r="O387" s="40"/>
    </row>
    <row r="388" spans="2:15" ht="17.100000000000001" customHeight="1" thickTop="1">
      <c r="B388" s="105" t="s">
        <v>2</v>
      </c>
      <c r="C388" s="38" t="s">
        <v>3</v>
      </c>
      <c r="D388" s="116" t="s">
        <v>4</v>
      </c>
      <c r="E388" s="117"/>
      <c r="F388" s="117"/>
      <c r="G388" s="117"/>
      <c r="H388" s="117"/>
      <c r="I388" s="117"/>
      <c r="J388" s="117"/>
      <c r="K388" s="118"/>
      <c r="M388" s="39"/>
      <c r="N388" s="96"/>
      <c r="O388" s="40"/>
    </row>
    <row r="389" spans="2:15" ht="16.149999999999999" customHeight="1">
      <c r="B389" s="106"/>
      <c r="C389" s="41" t="s">
        <v>5</v>
      </c>
      <c r="D389" s="119" t="s">
        <v>4</v>
      </c>
      <c r="E389" s="120"/>
      <c r="F389" s="120"/>
      <c r="G389" s="120"/>
      <c r="H389" s="120"/>
      <c r="I389" s="120"/>
      <c r="J389" s="120"/>
      <c r="K389" s="121"/>
      <c r="M389" s="39"/>
      <c r="N389" s="96"/>
      <c r="O389" s="40"/>
    </row>
    <row r="390" spans="2:15" ht="17.100000000000001" customHeight="1" thickBot="1">
      <c r="B390" s="107"/>
      <c r="C390" s="43" t="s">
        <v>7</v>
      </c>
      <c r="D390" s="112" t="s">
        <v>4</v>
      </c>
      <c r="E390" s="113"/>
      <c r="F390" s="113"/>
      <c r="G390" s="113"/>
      <c r="H390" s="113"/>
      <c r="I390" s="113"/>
      <c r="J390" s="113"/>
      <c r="K390" s="114"/>
      <c r="M390" s="39"/>
      <c r="N390" s="96"/>
      <c r="O390" s="40"/>
    </row>
    <row r="391" spans="2:15" ht="16.149999999999999" thickTop="1" thickBot="1"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M391" s="39"/>
      <c r="N391" s="96"/>
      <c r="O391" s="40"/>
    </row>
    <row r="392" spans="2:15" ht="15.75" thickTop="1">
      <c r="B392" s="128" t="s">
        <v>11</v>
      </c>
      <c r="C392" s="129"/>
      <c r="D392" s="47" t="s">
        <v>12</v>
      </c>
      <c r="E392" s="88"/>
      <c r="F392" s="130" t="s">
        <v>13</v>
      </c>
      <c r="G392" s="131"/>
      <c r="H392" s="131"/>
      <c r="I392" s="131"/>
      <c r="J392" s="131"/>
      <c r="K392" s="132"/>
      <c r="M392" s="39"/>
      <c r="N392" s="90" t="s">
        <v>14</v>
      </c>
      <c r="O392" s="98"/>
    </row>
    <row r="393" spans="2:15" ht="15.75" thickBot="1">
      <c r="B393" s="133" t="s">
        <v>15</v>
      </c>
      <c r="C393" s="134"/>
      <c r="D393" s="49" t="s">
        <v>16</v>
      </c>
      <c r="E393" s="88"/>
      <c r="F393" s="50" t="s">
        <v>14</v>
      </c>
      <c r="G393" s="52" t="s">
        <v>17</v>
      </c>
      <c r="H393" s="51" t="s">
        <v>18</v>
      </c>
      <c r="I393" s="51" t="s">
        <v>19</v>
      </c>
      <c r="J393" s="52" t="s">
        <v>20</v>
      </c>
      <c r="K393" s="77" t="s">
        <v>19</v>
      </c>
      <c r="M393" s="39"/>
      <c r="N393" s="95"/>
      <c r="O393" s="99"/>
    </row>
    <row r="394" spans="2:15">
      <c r="B394" s="135">
        <f>B378</f>
        <v>0</v>
      </c>
      <c r="C394" s="136"/>
      <c r="D394" s="55">
        <f>IF(D398&lt;380, 0.9*D398, D398)</f>
        <v>0</v>
      </c>
      <c r="E394" s="88"/>
      <c r="F394" s="56" t="s">
        <v>22</v>
      </c>
      <c r="G394" s="94">
        <f>N393*0.997</f>
        <v>0</v>
      </c>
      <c r="H394" s="56" t="s">
        <v>23</v>
      </c>
      <c r="I394" s="91">
        <f>N395*0.996</f>
        <v>0</v>
      </c>
      <c r="J394" s="57" t="s">
        <v>24</v>
      </c>
      <c r="K394" s="93">
        <f>N397*1.001</f>
        <v>0</v>
      </c>
      <c r="M394" s="39"/>
      <c r="N394" s="90" t="s">
        <v>18</v>
      </c>
      <c r="O394" s="98"/>
    </row>
    <row r="395" spans="2:15" ht="15.75" thickBot="1">
      <c r="B395" s="137"/>
      <c r="C395" s="138"/>
      <c r="D395" s="55">
        <f>IF(D398&lt;380, 1.25*D398, D398)</f>
        <v>0</v>
      </c>
      <c r="E395" s="88"/>
      <c r="F395" s="56" t="s">
        <v>25</v>
      </c>
      <c r="G395" s="94">
        <f>N393*1.002</f>
        <v>0</v>
      </c>
      <c r="H395" s="56" t="s">
        <v>26</v>
      </c>
      <c r="I395" s="91">
        <f>N395*0.999</f>
        <v>0</v>
      </c>
      <c r="J395" s="57" t="s">
        <v>27</v>
      </c>
      <c r="K395" s="93">
        <f>N397*1.005</f>
        <v>0</v>
      </c>
      <c r="M395" s="39"/>
      <c r="N395" s="95"/>
      <c r="O395" s="99"/>
    </row>
    <row r="396" spans="2:15">
      <c r="B396" s="137"/>
      <c r="C396" s="138"/>
      <c r="D396" s="55">
        <f>IF(D398&lt;380, 0.85*D398, D398)</f>
        <v>0</v>
      </c>
      <c r="E396" s="88"/>
      <c r="F396" s="56" t="s">
        <v>28</v>
      </c>
      <c r="G396" s="94">
        <f>N393*1.003</f>
        <v>0</v>
      </c>
      <c r="H396" s="56" t="s">
        <v>29</v>
      </c>
      <c r="I396" s="91">
        <f>N395*0.995</f>
        <v>0</v>
      </c>
      <c r="J396" s="57" t="s">
        <v>30</v>
      </c>
      <c r="K396" s="93">
        <f>N397*1.003</f>
        <v>0</v>
      </c>
      <c r="M396" s="39"/>
      <c r="N396" s="90" t="s">
        <v>20</v>
      </c>
      <c r="O396" s="98"/>
    </row>
    <row r="397" spans="2:15" ht="15.75" thickBot="1">
      <c r="B397" s="137"/>
      <c r="C397" s="138"/>
      <c r="D397" s="49" t="s">
        <v>31</v>
      </c>
      <c r="E397" s="60"/>
      <c r="F397" s="61" t="s">
        <v>32</v>
      </c>
      <c r="G397" s="79">
        <f>10*LOG10((1/3)*(10^(0.1*G394)+10^(0.1*G395)+10^(0.1*G396)))</f>
        <v>0</v>
      </c>
      <c r="H397" s="61" t="s">
        <v>33</v>
      </c>
      <c r="I397" s="79">
        <f>10*LOG10((1/3)*(10^(0.1*I394)+10^(0.1*I395)+10^(0.1*I396)))</f>
        <v>0</v>
      </c>
      <c r="J397" s="63" t="s">
        <v>34</v>
      </c>
      <c r="K397" s="78">
        <f>(K394+K395+K396)/3</f>
        <v>0</v>
      </c>
      <c r="M397" s="39"/>
      <c r="N397" s="95"/>
      <c r="O397" s="99"/>
    </row>
    <row r="398" spans="2:15" ht="15.75" thickTop="1">
      <c r="B398" s="137"/>
      <c r="C398" s="138"/>
      <c r="D398" s="25"/>
      <c r="E398" s="60"/>
      <c r="F398" s="65"/>
      <c r="G398" s="66"/>
      <c r="H398" s="65"/>
      <c r="I398" s="66"/>
      <c r="J398" s="65"/>
      <c r="K398" s="66"/>
      <c r="M398" s="39"/>
      <c r="N398" s="96"/>
      <c r="O398" s="40"/>
    </row>
    <row r="399" spans="2:15">
      <c r="B399" s="137"/>
      <c r="C399" s="138"/>
      <c r="D399" s="67" t="s">
        <v>36</v>
      </c>
      <c r="E399" s="60"/>
      <c r="F399" s="65"/>
      <c r="G399" s="66"/>
      <c r="H399" s="65"/>
      <c r="I399" s="66"/>
      <c r="J399" s="65"/>
      <c r="K399" s="66"/>
      <c r="M399" s="39"/>
      <c r="N399" s="96"/>
      <c r="O399" s="40"/>
    </row>
    <row r="400" spans="2:15" ht="15.75" thickBot="1">
      <c r="B400" s="139"/>
      <c r="C400" s="140"/>
      <c r="D400" s="68">
        <f>D398/60</f>
        <v>0</v>
      </c>
      <c r="E400" s="60"/>
      <c r="F400" s="69"/>
      <c r="G400" s="70"/>
      <c r="H400" s="70"/>
      <c r="I400" s="70"/>
      <c r="J400" s="71"/>
      <c r="K400" s="71"/>
      <c r="M400" s="39"/>
      <c r="N400" s="96"/>
      <c r="O400" s="40"/>
    </row>
    <row r="401" spans="2:15" ht="15.75" thickTop="1">
      <c r="M401" s="39"/>
      <c r="N401" s="96"/>
      <c r="O401" s="40"/>
    </row>
    <row r="402" spans="2:15" ht="15.75" thickBot="1">
      <c r="M402" s="39"/>
      <c r="N402" s="96"/>
      <c r="O402" s="40"/>
    </row>
    <row r="403" spans="2:15" ht="27" thickTop="1" thickBot="1">
      <c r="B403" s="33" t="s">
        <v>61</v>
      </c>
      <c r="C403" s="34" t="s">
        <v>1</v>
      </c>
      <c r="D403" s="102"/>
      <c r="E403" s="103"/>
      <c r="F403" s="103"/>
      <c r="G403" s="103"/>
      <c r="H403" s="103"/>
      <c r="I403" s="103"/>
      <c r="J403" s="103"/>
      <c r="K403" s="104"/>
      <c r="M403" s="39"/>
      <c r="N403" s="96"/>
      <c r="O403" s="40"/>
    </row>
    <row r="404" spans="2:15" ht="17.100000000000001" customHeight="1" thickTop="1">
      <c r="B404" s="105" t="s">
        <v>2</v>
      </c>
      <c r="C404" s="38" t="s">
        <v>3</v>
      </c>
      <c r="D404" s="116" t="s">
        <v>4</v>
      </c>
      <c r="E404" s="117"/>
      <c r="F404" s="117"/>
      <c r="G404" s="117"/>
      <c r="H404" s="117"/>
      <c r="I404" s="117"/>
      <c r="J404" s="117"/>
      <c r="K404" s="118"/>
      <c r="M404" s="39"/>
      <c r="N404" s="96"/>
      <c r="O404" s="40"/>
    </row>
    <row r="405" spans="2:15" ht="16.149999999999999" customHeight="1">
      <c r="B405" s="106"/>
      <c r="C405" s="41" t="s">
        <v>5</v>
      </c>
      <c r="D405" s="119" t="s">
        <v>4</v>
      </c>
      <c r="E405" s="120"/>
      <c r="F405" s="120"/>
      <c r="G405" s="120"/>
      <c r="H405" s="120"/>
      <c r="I405" s="120"/>
      <c r="J405" s="120"/>
      <c r="K405" s="121"/>
      <c r="M405" s="39"/>
      <c r="N405" s="96"/>
      <c r="O405" s="40"/>
    </row>
    <row r="406" spans="2:15" ht="17.100000000000001" customHeight="1" thickBot="1">
      <c r="B406" s="107"/>
      <c r="C406" s="43" t="s">
        <v>7</v>
      </c>
      <c r="D406" s="112" t="s">
        <v>4</v>
      </c>
      <c r="E406" s="113"/>
      <c r="F406" s="113"/>
      <c r="G406" s="113"/>
      <c r="H406" s="113"/>
      <c r="I406" s="113"/>
      <c r="J406" s="113"/>
      <c r="K406" s="114"/>
      <c r="M406" s="39"/>
      <c r="N406" s="96"/>
      <c r="O406" s="40"/>
    </row>
    <row r="407" spans="2:15" ht="16.149999999999999" thickTop="1" thickBot="1"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M407" s="39"/>
      <c r="N407" s="96"/>
      <c r="O407" s="40"/>
    </row>
    <row r="408" spans="2:15" ht="15.75" thickTop="1">
      <c r="B408" s="128" t="s">
        <v>11</v>
      </c>
      <c r="C408" s="129"/>
      <c r="D408" s="47" t="s">
        <v>12</v>
      </c>
      <c r="E408" s="88"/>
      <c r="F408" s="130" t="s">
        <v>13</v>
      </c>
      <c r="G408" s="131"/>
      <c r="H408" s="131"/>
      <c r="I408" s="131"/>
      <c r="J408" s="131"/>
      <c r="K408" s="132"/>
      <c r="M408" s="39"/>
      <c r="N408" s="90" t="s">
        <v>14</v>
      </c>
      <c r="O408" s="98"/>
    </row>
    <row r="409" spans="2:15" ht="15.75" thickBot="1">
      <c r="B409" s="133" t="s">
        <v>15</v>
      </c>
      <c r="C409" s="134"/>
      <c r="D409" s="49" t="s">
        <v>16</v>
      </c>
      <c r="E409" s="88"/>
      <c r="F409" s="50" t="s">
        <v>14</v>
      </c>
      <c r="G409" s="52" t="s">
        <v>17</v>
      </c>
      <c r="H409" s="51" t="s">
        <v>18</v>
      </c>
      <c r="I409" s="51" t="s">
        <v>19</v>
      </c>
      <c r="J409" s="52" t="s">
        <v>20</v>
      </c>
      <c r="K409" s="77" t="s">
        <v>19</v>
      </c>
      <c r="M409" s="39"/>
      <c r="N409" s="95"/>
      <c r="O409" s="99"/>
    </row>
    <row r="410" spans="2:15">
      <c r="B410" s="135">
        <f>B362</f>
        <v>0</v>
      </c>
      <c r="C410" s="136"/>
      <c r="D410" s="55">
        <f>IF(D414&lt;380, 0.8*D414, D414)</f>
        <v>0</v>
      </c>
      <c r="E410" s="88"/>
      <c r="F410" s="56" t="s">
        <v>22</v>
      </c>
      <c r="G410" s="94">
        <f>N409*0.998</f>
        <v>0</v>
      </c>
      <c r="H410" s="56" t="s">
        <v>23</v>
      </c>
      <c r="I410" s="91">
        <f>N411*0.999</f>
        <v>0</v>
      </c>
      <c r="J410" s="57" t="s">
        <v>24</v>
      </c>
      <c r="K410" s="93">
        <f>N413*1.003</f>
        <v>0</v>
      </c>
      <c r="M410" s="39"/>
      <c r="N410" s="90" t="s">
        <v>18</v>
      </c>
      <c r="O410" s="98"/>
    </row>
    <row r="411" spans="2:15" ht="15.75" thickBot="1">
      <c r="B411" s="137"/>
      <c r="C411" s="138"/>
      <c r="D411" s="55">
        <f>IF(D414&lt;380, 1.15*D414, D414)</f>
        <v>0</v>
      </c>
      <c r="E411" s="88"/>
      <c r="F411" s="56" t="s">
        <v>25</v>
      </c>
      <c r="G411" s="94">
        <f>N409*1.003</f>
        <v>0</v>
      </c>
      <c r="H411" s="56" t="s">
        <v>26</v>
      </c>
      <c r="I411" s="91">
        <f>N411*1.001</f>
        <v>0</v>
      </c>
      <c r="J411" s="57" t="s">
        <v>27</v>
      </c>
      <c r="K411" s="93">
        <f>N413*1.002</f>
        <v>0</v>
      </c>
      <c r="M411" s="39"/>
      <c r="N411" s="95"/>
      <c r="O411" s="99"/>
    </row>
    <row r="412" spans="2:15">
      <c r="B412" s="137"/>
      <c r="C412" s="138"/>
      <c r="D412" s="55">
        <f>IF(D414&lt;380, 1.05*D414, D414)</f>
        <v>0</v>
      </c>
      <c r="E412" s="88"/>
      <c r="F412" s="56" t="s">
        <v>28</v>
      </c>
      <c r="G412" s="94">
        <f>N409*0.997</f>
        <v>0</v>
      </c>
      <c r="H412" s="56" t="s">
        <v>29</v>
      </c>
      <c r="I412" s="91">
        <f>N411*0.996</f>
        <v>0</v>
      </c>
      <c r="J412" s="57" t="s">
        <v>30</v>
      </c>
      <c r="K412" s="93">
        <f>N413*1.001</f>
        <v>0</v>
      </c>
      <c r="M412" s="39"/>
      <c r="N412" s="90" t="s">
        <v>20</v>
      </c>
      <c r="O412" s="98"/>
    </row>
    <row r="413" spans="2:15" ht="15.75" thickBot="1">
      <c r="B413" s="137"/>
      <c r="C413" s="138"/>
      <c r="D413" s="49" t="s">
        <v>31</v>
      </c>
      <c r="E413" s="60"/>
      <c r="F413" s="61" t="s">
        <v>32</v>
      </c>
      <c r="G413" s="79">
        <f>10*LOG10((1/3)*(10^(0.1*G410)+10^(0.1*G411)+10^(0.1*G412)))</f>
        <v>0</v>
      </c>
      <c r="H413" s="61" t="s">
        <v>33</v>
      </c>
      <c r="I413" s="79">
        <f>10*LOG10((1/3)*(10^(0.1*I410)+10^(0.1*I411)+10^(0.1*I412)))</f>
        <v>0</v>
      </c>
      <c r="J413" s="63" t="s">
        <v>34</v>
      </c>
      <c r="K413" s="78">
        <f>(K410+K411+K412)/3</f>
        <v>0</v>
      </c>
      <c r="M413" s="39"/>
      <c r="N413" s="95"/>
      <c r="O413" s="99"/>
    </row>
    <row r="414" spans="2:15" ht="15.75" thickTop="1">
      <c r="B414" s="137"/>
      <c r="C414" s="138"/>
      <c r="D414" s="25"/>
      <c r="E414" s="60"/>
      <c r="F414" s="65"/>
      <c r="G414" s="66"/>
      <c r="H414" s="65"/>
      <c r="I414" s="66"/>
      <c r="J414" s="65"/>
      <c r="K414" s="66"/>
      <c r="M414" s="39"/>
      <c r="N414" s="96"/>
      <c r="O414" s="40"/>
    </row>
    <row r="415" spans="2:15">
      <c r="B415" s="137"/>
      <c r="C415" s="138"/>
      <c r="D415" s="67" t="s">
        <v>36</v>
      </c>
      <c r="E415" s="60"/>
      <c r="F415" s="65"/>
      <c r="G415" s="66"/>
      <c r="H415" s="65"/>
      <c r="I415" s="66"/>
      <c r="J415" s="65"/>
      <c r="K415" s="66"/>
      <c r="M415" s="39"/>
      <c r="N415" s="96"/>
      <c r="O415" s="40"/>
    </row>
    <row r="416" spans="2:15" ht="15.75" thickBot="1">
      <c r="B416" s="139"/>
      <c r="C416" s="140"/>
      <c r="D416" s="68">
        <f>D414/60</f>
        <v>0</v>
      </c>
      <c r="E416" s="60"/>
      <c r="F416" s="69"/>
      <c r="G416" s="70"/>
      <c r="H416" s="70"/>
      <c r="I416" s="70"/>
      <c r="J416" s="71"/>
      <c r="K416" s="71"/>
      <c r="M416" s="39"/>
      <c r="N416" s="96"/>
      <c r="O416" s="40"/>
    </row>
    <row r="417" spans="2:15" ht="15.75" thickTop="1">
      <c r="M417" s="39"/>
      <c r="N417" s="96"/>
      <c r="O417" s="40"/>
    </row>
    <row r="418" spans="2:15" ht="15.75" thickBot="1">
      <c r="M418" s="39"/>
      <c r="N418" s="96"/>
      <c r="O418" s="40"/>
    </row>
    <row r="419" spans="2:15" ht="27" thickTop="1" thickBot="1">
      <c r="B419" s="33" t="s">
        <v>62</v>
      </c>
      <c r="C419" s="34" t="s">
        <v>1</v>
      </c>
      <c r="D419" s="102"/>
      <c r="E419" s="103"/>
      <c r="F419" s="103"/>
      <c r="G419" s="103"/>
      <c r="H419" s="103"/>
      <c r="I419" s="103"/>
      <c r="J419" s="103"/>
      <c r="K419" s="104"/>
      <c r="M419" s="39"/>
      <c r="N419" s="96"/>
      <c r="O419" s="40"/>
    </row>
    <row r="420" spans="2:15" ht="17.100000000000001" customHeight="1" thickTop="1">
      <c r="B420" s="105" t="s">
        <v>2</v>
      </c>
      <c r="C420" s="38" t="s">
        <v>3</v>
      </c>
      <c r="D420" s="116" t="s">
        <v>4</v>
      </c>
      <c r="E420" s="117"/>
      <c r="F420" s="117"/>
      <c r="G420" s="117"/>
      <c r="H420" s="117"/>
      <c r="I420" s="117"/>
      <c r="J420" s="117"/>
      <c r="K420" s="118"/>
      <c r="M420" s="39"/>
      <c r="N420" s="96"/>
      <c r="O420" s="40"/>
    </row>
    <row r="421" spans="2:15" ht="16.149999999999999" customHeight="1">
      <c r="B421" s="106"/>
      <c r="C421" s="41" t="s">
        <v>5</v>
      </c>
      <c r="D421" s="119" t="s">
        <v>4</v>
      </c>
      <c r="E421" s="120"/>
      <c r="F421" s="120"/>
      <c r="G421" s="120"/>
      <c r="H421" s="120"/>
      <c r="I421" s="120"/>
      <c r="J421" s="120"/>
      <c r="K421" s="121"/>
      <c r="M421" s="39"/>
      <c r="N421" s="96"/>
      <c r="O421" s="40"/>
    </row>
    <row r="422" spans="2:15" ht="17.100000000000001" customHeight="1" thickBot="1">
      <c r="B422" s="107"/>
      <c r="C422" s="43" t="s">
        <v>7</v>
      </c>
      <c r="D422" s="112" t="s">
        <v>4</v>
      </c>
      <c r="E422" s="113"/>
      <c r="F422" s="113"/>
      <c r="G422" s="113"/>
      <c r="H422" s="113"/>
      <c r="I422" s="113"/>
      <c r="J422" s="113"/>
      <c r="K422" s="114"/>
      <c r="M422" s="39"/>
      <c r="N422" s="96"/>
      <c r="O422" s="40"/>
    </row>
    <row r="423" spans="2:15" ht="16.149999999999999" thickTop="1" thickBot="1"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M423" s="39"/>
      <c r="N423" s="96"/>
      <c r="O423" s="40"/>
    </row>
    <row r="424" spans="2:15" ht="15.75" thickTop="1">
      <c r="B424" s="128" t="s">
        <v>11</v>
      </c>
      <c r="C424" s="129"/>
      <c r="D424" s="47" t="s">
        <v>12</v>
      </c>
      <c r="E424" s="88"/>
      <c r="F424" s="130" t="s">
        <v>13</v>
      </c>
      <c r="G424" s="131"/>
      <c r="H424" s="131"/>
      <c r="I424" s="131"/>
      <c r="J424" s="131"/>
      <c r="K424" s="132"/>
      <c r="M424" s="39"/>
      <c r="N424" s="90" t="s">
        <v>14</v>
      </c>
      <c r="O424" s="98"/>
    </row>
    <row r="425" spans="2:15" ht="15.75" thickBot="1">
      <c r="B425" s="133" t="s">
        <v>15</v>
      </c>
      <c r="C425" s="134"/>
      <c r="D425" s="49" t="s">
        <v>16</v>
      </c>
      <c r="E425" s="88"/>
      <c r="F425" s="50" t="s">
        <v>14</v>
      </c>
      <c r="G425" s="52" t="s">
        <v>17</v>
      </c>
      <c r="H425" s="51" t="s">
        <v>18</v>
      </c>
      <c r="I425" s="51" t="s">
        <v>19</v>
      </c>
      <c r="J425" s="52" t="s">
        <v>20</v>
      </c>
      <c r="K425" s="77" t="s">
        <v>19</v>
      </c>
      <c r="M425" s="39"/>
      <c r="N425" s="95"/>
      <c r="O425" s="99"/>
    </row>
    <row r="426" spans="2:15">
      <c r="B426" s="135">
        <f>B378</f>
        <v>0</v>
      </c>
      <c r="C426" s="136"/>
      <c r="D426" s="55">
        <f>IF(D430&lt;380, 1.05*D430, D430)</f>
        <v>0</v>
      </c>
      <c r="E426" s="88"/>
      <c r="F426" s="56" t="s">
        <v>22</v>
      </c>
      <c r="G426" s="94">
        <f>N425*0.999</f>
        <v>0</v>
      </c>
      <c r="H426" s="56" t="s">
        <v>23</v>
      </c>
      <c r="I426" s="91">
        <f>N427*0.996</f>
        <v>0</v>
      </c>
      <c r="J426" s="57" t="s">
        <v>24</v>
      </c>
      <c r="K426" s="93">
        <f>N429*1.001</f>
        <v>0</v>
      </c>
      <c r="M426" s="39"/>
      <c r="N426" s="90" t="s">
        <v>18</v>
      </c>
      <c r="O426" s="98"/>
    </row>
    <row r="427" spans="2:15" ht="15.75" thickBot="1">
      <c r="B427" s="137"/>
      <c r="C427" s="138"/>
      <c r="D427" s="55">
        <f>IF(D430&lt;380, 0.85*D430, D430)</f>
        <v>0</v>
      </c>
      <c r="E427" s="88"/>
      <c r="F427" s="56" t="s">
        <v>25</v>
      </c>
      <c r="G427" s="94">
        <f>N425*1.002</f>
        <v>0</v>
      </c>
      <c r="H427" s="56" t="s">
        <v>26</v>
      </c>
      <c r="I427" s="91">
        <f>N427*0.998</f>
        <v>0</v>
      </c>
      <c r="J427" s="57" t="s">
        <v>27</v>
      </c>
      <c r="K427" s="93">
        <f>N429*1.003</f>
        <v>0</v>
      </c>
      <c r="M427" s="39"/>
      <c r="N427" s="95"/>
      <c r="O427" s="99"/>
    </row>
    <row r="428" spans="2:15">
      <c r="B428" s="137"/>
      <c r="C428" s="138"/>
      <c r="D428" s="55">
        <f>IF(D430&lt;380, 1.1*D430, D430)</f>
        <v>0</v>
      </c>
      <c r="E428" s="88"/>
      <c r="F428" s="56" t="s">
        <v>28</v>
      </c>
      <c r="G428" s="94">
        <f>N425*1.001</f>
        <v>0</v>
      </c>
      <c r="H428" s="56" t="s">
        <v>29</v>
      </c>
      <c r="I428" s="91">
        <f>N427*0.997</f>
        <v>0</v>
      </c>
      <c r="J428" s="57" t="s">
        <v>30</v>
      </c>
      <c r="K428" s="93">
        <f>N429*1.002</f>
        <v>0</v>
      </c>
      <c r="M428" s="39"/>
      <c r="N428" s="90" t="s">
        <v>20</v>
      </c>
      <c r="O428" s="98"/>
    </row>
    <row r="429" spans="2:15" ht="15.75" thickBot="1">
      <c r="B429" s="137"/>
      <c r="C429" s="138"/>
      <c r="D429" s="49" t="s">
        <v>31</v>
      </c>
      <c r="E429" s="60"/>
      <c r="F429" s="61" t="s">
        <v>32</v>
      </c>
      <c r="G429" s="79">
        <f>10*LOG10((1/3)*(10^(0.1*G426)+10^(0.1*G427)+10^(0.1*G428)))</f>
        <v>0</v>
      </c>
      <c r="H429" s="61" t="s">
        <v>33</v>
      </c>
      <c r="I429" s="79">
        <f>10*LOG10((1/3)*(10^(0.1*I426)+10^(0.1*I427)+10^(0.1*I428)))</f>
        <v>0</v>
      </c>
      <c r="J429" s="63" t="s">
        <v>34</v>
      </c>
      <c r="K429" s="78">
        <f>(K426+K427+K428)/3</f>
        <v>0</v>
      </c>
      <c r="M429" s="39"/>
      <c r="N429" s="95"/>
      <c r="O429" s="99"/>
    </row>
    <row r="430" spans="2:15" ht="15.75" thickTop="1">
      <c r="B430" s="137"/>
      <c r="C430" s="138"/>
      <c r="D430" s="25"/>
      <c r="E430" s="60"/>
      <c r="F430" s="65"/>
      <c r="G430" s="66"/>
      <c r="H430" s="65"/>
      <c r="I430" s="66"/>
      <c r="J430" s="65"/>
      <c r="K430" s="66"/>
      <c r="M430" s="39"/>
      <c r="N430" s="96"/>
      <c r="O430" s="40"/>
    </row>
    <row r="431" spans="2:15">
      <c r="B431" s="137"/>
      <c r="C431" s="138"/>
      <c r="D431" s="67" t="s">
        <v>36</v>
      </c>
      <c r="E431" s="60"/>
      <c r="F431" s="65"/>
      <c r="G431" s="66"/>
      <c r="H431" s="65"/>
      <c r="I431" s="66"/>
      <c r="J431" s="65"/>
      <c r="K431" s="66"/>
      <c r="M431" s="39"/>
      <c r="N431" s="96"/>
      <c r="O431" s="40"/>
    </row>
    <row r="432" spans="2:15" ht="15.75" thickBot="1">
      <c r="B432" s="139"/>
      <c r="C432" s="140"/>
      <c r="D432" s="68">
        <f>D430/60</f>
        <v>0</v>
      </c>
      <c r="E432" s="60"/>
      <c r="F432" s="69"/>
      <c r="G432" s="70"/>
      <c r="H432" s="70"/>
      <c r="I432" s="70"/>
      <c r="J432" s="71"/>
      <c r="K432" s="71"/>
      <c r="M432" s="39"/>
      <c r="N432" s="96"/>
      <c r="O432" s="40"/>
    </row>
    <row r="433" spans="2:15" ht="15.75" thickTop="1">
      <c r="M433" s="39"/>
      <c r="N433" s="96"/>
      <c r="O433" s="40"/>
    </row>
    <row r="434" spans="2:15" ht="15.75" thickBot="1">
      <c r="M434" s="39"/>
      <c r="N434" s="96"/>
      <c r="O434" s="40"/>
    </row>
    <row r="435" spans="2:15" ht="27" thickTop="1" thickBot="1">
      <c r="B435" s="33" t="s">
        <v>63</v>
      </c>
      <c r="C435" s="34" t="s">
        <v>1</v>
      </c>
      <c r="D435" s="102"/>
      <c r="E435" s="103"/>
      <c r="F435" s="103"/>
      <c r="G435" s="103"/>
      <c r="H435" s="103"/>
      <c r="I435" s="103"/>
      <c r="J435" s="103"/>
      <c r="K435" s="104"/>
      <c r="M435" s="39"/>
      <c r="N435" s="96"/>
      <c r="O435" s="40"/>
    </row>
    <row r="436" spans="2:15" ht="17.100000000000001" customHeight="1" thickTop="1">
      <c r="B436" s="105" t="s">
        <v>2</v>
      </c>
      <c r="C436" s="38" t="s">
        <v>3</v>
      </c>
      <c r="D436" s="116" t="s">
        <v>4</v>
      </c>
      <c r="E436" s="117"/>
      <c r="F436" s="117"/>
      <c r="G436" s="117"/>
      <c r="H436" s="117"/>
      <c r="I436" s="117"/>
      <c r="J436" s="117"/>
      <c r="K436" s="118"/>
      <c r="M436" s="39"/>
      <c r="N436" s="96"/>
      <c r="O436" s="40"/>
    </row>
    <row r="437" spans="2:15" ht="16.149999999999999" customHeight="1">
      <c r="B437" s="106"/>
      <c r="C437" s="41" t="s">
        <v>5</v>
      </c>
      <c r="D437" s="119" t="s">
        <v>4</v>
      </c>
      <c r="E437" s="120"/>
      <c r="F437" s="120"/>
      <c r="G437" s="120"/>
      <c r="H437" s="120"/>
      <c r="I437" s="120"/>
      <c r="J437" s="120"/>
      <c r="K437" s="121"/>
      <c r="M437" s="39"/>
      <c r="N437" s="96"/>
      <c r="O437" s="40"/>
    </row>
    <row r="438" spans="2:15" ht="17.100000000000001" customHeight="1" thickBot="1">
      <c r="B438" s="107"/>
      <c r="C438" s="43" t="s">
        <v>7</v>
      </c>
      <c r="D438" s="112" t="s">
        <v>4</v>
      </c>
      <c r="E438" s="113"/>
      <c r="F438" s="113"/>
      <c r="G438" s="113"/>
      <c r="H438" s="113"/>
      <c r="I438" s="113"/>
      <c r="J438" s="113"/>
      <c r="K438" s="114"/>
      <c r="M438" s="39"/>
      <c r="N438" s="96"/>
      <c r="O438" s="40"/>
    </row>
    <row r="439" spans="2:15" ht="16.149999999999999" thickTop="1" thickBot="1"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M439" s="39"/>
      <c r="N439" s="96"/>
      <c r="O439" s="40"/>
    </row>
    <row r="440" spans="2:15" ht="15.75" thickTop="1">
      <c r="B440" s="128" t="s">
        <v>11</v>
      </c>
      <c r="C440" s="129"/>
      <c r="D440" s="47" t="s">
        <v>12</v>
      </c>
      <c r="E440" s="88"/>
      <c r="F440" s="130" t="s">
        <v>13</v>
      </c>
      <c r="G440" s="131"/>
      <c r="H440" s="131"/>
      <c r="I440" s="131"/>
      <c r="J440" s="131"/>
      <c r="K440" s="132"/>
      <c r="M440" s="39"/>
      <c r="N440" s="90" t="s">
        <v>14</v>
      </c>
      <c r="O440" s="98"/>
    </row>
    <row r="441" spans="2:15" ht="15.75" thickBot="1">
      <c r="B441" s="133" t="s">
        <v>15</v>
      </c>
      <c r="C441" s="134"/>
      <c r="D441" s="49" t="s">
        <v>16</v>
      </c>
      <c r="E441" s="88"/>
      <c r="F441" s="50" t="s">
        <v>14</v>
      </c>
      <c r="G441" s="52" t="s">
        <v>17</v>
      </c>
      <c r="H441" s="51" t="s">
        <v>18</v>
      </c>
      <c r="I441" s="51" t="s">
        <v>19</v>
      </c>
      <c r="J441" s="52" t="s">
        <v>20</v>
      </c>
      <c r="K441" s="77" t="s">
        <v>19</v>
      </c>
      <c r="M441" s="39"/>
      <c r="N441" s="95"/>
      <c r="O441" s="99"/>
    </row>
    <row r="442" spans="2:15">
      <c r="B442" s="135">
        <f>B426</f>
        <v>0</v>
      </c>
      <c r="C442" s="136"/>
      <c r="D442" s="55">
        <f>IF(D446&lt;380, 1.25*D446, D446)</f>
        <v>0</v>
      </c>
      <c r="E442" s="88"/>
      <c r="F442" s="56" t="s">
        <v>22</v>
      </c>
      <c r="G442" s="94">
        <f>N441*1.004</f>
        <v>0</v>
      </c>
      <c r="H442" s="56" t="s">
        <v>23</v>
      </c>
      <c r="I442" s="91">
        <f>N443*0.998</f>
        <v>0</v>
      </c>
      <c r="J442" s="57" t="s">
        <v>24</v>
      </c>
      <c r="K442" s="93">
        <f>N445*1.004</f>
        <v>0</v>
      </c>
      <c r="M442" s="39"/>
      <c r="N442" s="90" t="s">
        <v>18</v>
      </c>
      <c r="O442" s="98"/>
    </row>
    <row r="443" spans="2:15" ht="15.75" thickBot="1">
      <c r="B443" s="137"/>
      <c r="C443" s="138"/>
      <c r="D443" s="55">
        <f>IF(D446&lt;380, 0.95*D446, D446)</f>
        <v>0</v>
      </c>
      <c r="E443" s="88"/>
      <c r="F443" s="56" t="s">
        <v>25</v>
      </c>
      <c r="G443" s="94">
        <f>N441*1.002</f>
        <v>0</v>
      </c>
      <c r="H443" s="56" t="s">
        <v>26</v>
      </c>
      <c r="I443" s="91">
        <f>N443*1.001</f>
        <v>0</v>
      </c>
      <c r="J443" s="57" t="s">
        <v>27</v>
      </c>
      <c r="K443" s="93">
        <f>N445*1.002</f>
        <v>0</v>
      </c>
      <c r="M443" s="39"/>
      <c r="N443" s="95"/>
      <c r="O443" s="99"/>
    </row>
    <row r="444" spans="2:15">
      <c r="B444" s="137"/>
      <c r="C444" s="138"/>
      <c r="D444" s="55">
        <f>IF(D446&lt;380, 0.8*D446, D446)</f>
        <v>0</v>
      </c>
      <c r="E444" s="88"/>
      <c r="F444" s="56" t="s">
        <v>28</v>
      </c>
      <c r="G444" s="94">
        <f>N441*1.003</f>
        <v>0</v>
      </c>
      <c r="H444" s="56" t="s">
        <v>29</v>
      </c>
      <c r="I444" s="91">
        <f>N443*1.003</f>
        <v>0</v>
      </c>
      <c r="J444" s="57" t="s">
        <v>30</v>
      </c>
      <c r="K444" s="93">
        <f>N445*1.005</f>
        <v>0</v>
      </c>
      <c r="M444" s="39"/>
      <c r="N444" s="90" t="s">
        <v>20</v>
      </c>
      <c r="O444" s="98"/>
    </row>
    <row r="445" spans="2:15" ht="15.75" thickBot="1">
      <c r="B445" s="137"/>
      <c r="C445" s="138"/>
      <c r="D445" s="49" t="s">
        <v>31</v>
      </c>
      <c r="E445" s="60"/>
      <c r="F445" s="61" t="s">
        <v>32</v>
      </c>
      <c r="G445" s="79">
        <f>10*LOG10((1/3)*(10^(0.1*G442)+10^(0.1*G443)+10^(0.1*G444)))</f>
        <v>0</v>
      </c>
      <c r="H445" s="61" t="s">
        <v>33</v>
      </c>
      <c r="I445" s="79">
        <f>10*LOG10((1/3)*(10^(0.1*I442)+10^(0.1*I443)+10^(0.1*I444)))</f>
        <v>0</v>
      </c>
      <c r="J445" s="63" t="s">
        <v>34</v>
      </c>
      <c r="K445" s="78">
        <f>(K442+K443+K444)/3</f>
        <v>0</v>
      </c>
      <c r="M445" s="39"/>
      <c r="N445" s="95"/>
      <c r="O445" s="99"/>
    </row>
    <row r="446" spans="2:15" ht="15.75" thickTop="1">
      <c r="B446" s="137"/>
      <c r="C446" s="138"/>
      <c r="D446" s="25"/>
      <c r="E446" s="60"/>
      <c r="F446" s="65"/>
      <c r="G446" s="66"/>
      <c r="H446" s="65"/>
      <c r="I446" s="66"/>
      <c r="J446" s="65"/>
      <c r="K446" s="66"/>
      <c r="M446" s="39"/>
      <c r="N446" s="96"/>
      <c r="O446" s="40"/>
    </row>
    <row r="447" spans="2:15">
      <c r="B447" s="137"/>
      <c r="C447" s="138"/>
      <c r="D447" s="67" t="s">
        <v>36</v>
      </c>
      <c r="E447" s="60"/>
      <c r="F447" s="65"/>
      <c r="G447" s="66"/>
      <c r="H447" s="65"/>
      <c r="I447" s="66"/>
      <c r="J447" s="65"/>
      <c r="K447" s="66"/>
      <c r="M447" s="39"/>
      <c r="N447" s="96"/>
      <c r="O447" s="40"/>
    </row>
    <row r="448" spans="2:15" ht="15.75" thickBot="1">
      <c r="B448" s="139"/>
      <c r="C448" s="140"/>
      <c r="D448" s="68">
        <f>D446/60</f>
        <v>0</v>
      </c>
      <c r="E448" s="60"/>
      <c r="F448" s="69"/>
      <c r="G448" s="70"/>
      <c r="H448" s="70"/>
      <c r="I448" s="70"/>
      <c r="J448" s="71"/>
      <c r="K448" s="71"/>
      <c r="M448" s="39"/>
      <c r="N448" s="96"/>
      <c r="O448" s="40"/>
    </row>
    <row r="449" spans="2:15" ht="15.75" thickTop="1">
      <c r="M449" s="39"/>
      <c r="N449" s="96"/>
      <c r="O449" s="40"/>
    </row>
    <row r="450" spans="2:15" ht="15.75" thickBot="1">
      <c r="M450" s="39"/>
      <c r="N450" s="96"/>
      <c r="O450" s="40"/>
    </row>
    <row r="451" spans="2:15" ht="27" thickTop="1" thickBot="1">
      <c r="B451" s="33" t="s">
        <v>64</v>
      </c>
      <c r="C451" s="34" t="s">
        <v>1</v>
      </c>
      <c r="D451" s="102"/>
      <c r="E451" s="103"/>
      <c r="F451" s="103"/>
      <c r="G451" s="103"/>
      <c r="H451" s="103"/>
      <c r="I451" s="103"/>
      <c r="J451" s="103"/>
      <c r="K451" s="104"/>
      <c r="M451" s="39"/>
      <c r="N451" s="96"/>
      <c r="O451" s="40"/>
    </row>
    <row r="452" spans="2:15" ht="17.100000000000001" customHeight="1" thickTop="1">
      <c r="B452" s="105" t="s">
        <v>2</v>
      </c>
      <c r="C452" s="38" t="s">
        <v>3</v>
      </c>
      <c r="D452" s="116" t="s">
        <v>4</v>
      </c>
      <c r="E452" s="117"/>
      <c r="F452" s="117"/>
      <c r="G452" s="117"/>
      <c r="H452" s="117"/>
      <c r="I452" s="117"/>
      <c r="J452" s="117"/>
      <c r="K452" s="118"/>
      <c r="M452" s="39"/>
      <c r="N452" s="96"/>
      <c r="O452" s="40"/>
    </row>
    <row r="453" spans="2:15" ht="16.149999999999999" customHeight="1">
      <c r="B453" s="106"/>
      <c r="C453" s="41" t="s">
        <v>5</v>
      </c>
      <c r="D453" s="119" t="s">
        <v>4</v>
      </c>
      <c r="E453" s="120"/>
      <c r="F453" s="120"/>
      <c r="G453" s="120"/>
      <c r="H453" s="120"/>
      <c r="I453" s="120"/>
      <c r="J453" s="120"/>
      <c r="K453" s="121"/>
      <c r="M453" s="39"/>
      <c r="N453" s="96"/>
      <c r="O453" s="40"/>
    </row>
    <row r="454" spans="2:15" ht="17.100000000000001" customHeight="1" thickBot="1">
      <c r="B454" s="107"/>
      <c r="C454" s="43" t="s">
        <v>7</v>
      </c>
      <c r="D454" s="112" t="s">
        <v>4</v>
      </c>
      <c r="E454" s="113"/>
      <c r="F454" s="113"/>
      <c r="G454" s="113"/>
      <c r="H454" s="113"/>
      <c r="I454" s="113"/>
      <c r="J454" s="113"/>
      <c r="K454" s="114"/>
      <c r="M454" s="39"/>
      <c r="N454" s="96"/>
      <c r="O454" s="40"/>
    </row>
    <row r="455" spans="2:15" ht="16.149999999999999" thickTop="1" thickBot="1"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M455" s="39"/>
      <c r="N455" s="96"/>
      <c r="O455" s="40"/>
    </row>
    <row r="456" spans="2:15" ht="15.75" thickTop="1">
      <c r="B456" s="128" t="s">
        <v>11</v>
      </c>
      <c r="C456" s="129"/>
      <c r="D456" s="47" t="s">
        <v>12</v>
      </c>
      <c r="E456" s="88"/>
      <c r="F456" s="130" t="s">
        <v>13</v>
      </c>
      <c r="G456" s="131"/>
      <c r="H456" s="131"/>
      <c r="I456" s="131"/>
      <c r="J456" s="131"/>
      <c r="K456" s="132"/>
      <c r="M456" s="39"/>
      <c r="N456" s="90" t="s">
        <v>14</v>
      </c>
      <c r="O456" s="98"/>
    </row>
    <row r="457" spans="2:15" ht="15.75" thickBot="1">
      <c r="B457" s="133" t="s">
        <v>15</v>
      </c>
      <c r="C457" s="134"/>
      <c r="D457" s="49" t="s">
        <v>16</v>
      </c>
      <c r="E457" s="88"/>
      <c r="F457" s="50" t="s">
        <v>14</v>
      </c>
      <c r="G457" s="52" t="s">
        <v>17</v>
      </c>
      <c r="H457" s="51" t="s">
        <v>18</v>
      </c>
      <c r="I457" s="51" t="s">
        <v>19</v>
      </c>
      <c r="J457" s="52" t="s">
        <v>20</v>
      </c>
      <c r="K457" s="77" t="s">
        <v>19</v>
      </c>
      <c r="M457" s="39"/>
      <c r="N457" s="95"/>
      <c r="O457" s="99"/>
    </row>
    <row r="458" spans="2:15">
      <c r="B458" s="135">
        <f>B410</f>
        <v>0</v>
      </c>
      <c r="C458" s="136"/>
      <c r="D458" s="55">
        <f>IF(D462&lt;380, 0.8*D462, D462)</f>
        <v>0</v>
      </c>
      <c r="E458" s="88"/>
      <c r="F458" s="56" t="s">
        <v>22</v>
      </c>
      <c r="G458" s="94">
        <f>N457*0.996</f>
        <v>0</v>
      </c>
      <c r="H458" s="56" t="s">
        <v>23</v>
      </c>
      <c r="I458" s="91">
        <f>N459*1.004</f>
        <v>0</v>
      </c>
      <c r="J458" s="57" t="s">
        <v>24</v>
      </c>
      <c r="K458" s="93">
        <f>N461*0.998</f>
        <v>0</v>
      </c>
      <c r="M458" s="39"/>
      <c r="N458" s="90" t="s">
        <v>18</v>
      </c>
      <c r="O458" s="98"/>
    </row>
    <row r="459" spans="2:15" ht="15.75" thickBot="1">
      <c r="B459" s="137"/>
      <c r="C459" s="138"/>
      <c r="D459" s="55">
        <f>IF(D462&lt;380, 1.25*D462, D462)</f>
        <v>0</v>
      </c>
      <c r="E459" s="88"/>
      <c r="F459" s="56" t="s">
        <v>25</v>
      </c>
      <c r="G459" s="94">
        <f>N457*0.999</f>
        <v>0</v>
      </c>
      <c r="H459" s="56" t="s">
        <v>26</v>
      </c>
      <c r="I459" s="91">
        <f>N459*1.003</f>
        <v>0</v>
      </c>
      <c r="J459" s="57" t="s">
        <v>27</v>
      </c>
      <c r="K459" s="93">
        <f>N461*0.996</f>
        <v>0</v>
      </c>
      <c r="M459" s="39"/>
      <c r="N459" s="95"/>
      <c r="O459" s="99"/>
    </row>
    <row r="460" spans="2:15">
      <c r="B460" s="137"/>
      <c r="C460" s="138"/>
      <c r="D460" s="55">
        <f>IF(D462&lt;380, 0.95*D462, D462)</f>
        <v>0</v>
      </c>
      <c r="E460" s="88"/>
      <c r="F460" s="56" t="s">
        <v>28</v>
      </c>
      <c r="G460" s="94">
        <f>N457*1.002</f>
        <v>0</v>
      </c>
      <c r="H460" s="56" t="s">
        <v>29</v>
      </c>
      <c r="I460" s="91">
        <f>N459*1.002</f>
        <v>0</v>
      </c>
      <c r="J460" s="57" t="s">
        <v>30</v>
      </c>
      <c r="K460" s="93">
        <f>N461*0.999</f>
        <v>0</v>
      </c>
      <c r="M460" s="39"/>
      <c r="N460" s="90" t="s">
        <v>20</v>
      </c>
      <c r="O460" s="98"/>
    </row>
    <row r="461" spans="2:15" ht="15.75" thickBot="1">
      <c r="B461" s="137"/>
      <c r="C461" s="138"/>
      <c r="D461" s="49" t="s">
        <v>31</v>
      </c>
      <c r="E461" s="60"/>
      <c r="F461" s="61" t="s">
        <v>32</v>
      </c>
      <c r="G461" s="79">
        <f>10*LOG10((1/3)*(10^(0.1*G458)+10^(0.1*G459)+10^(0.1*G460)))</f>
        <v>0</v>
      </c>
      <c r="H461" s="61" t="s">
        <v>33</v>
      </c>
      <c r="I461" s="79">
        <f>10*LOG10((1/3)*(10^(0.1*I458)+10^(0.1*I459)+10^(0.1*I460)))</f>
        <v>0</v>
      </c>
      <c r="J461" s="63" t="s">
        <v>34</v>
      </c>
      <c r="K461" s="78">
        <f>(K458+K459+K460)/3</f>
        <v>0</v>
      </c>
      <c r="M461" s="39"/>
      <c r="N461" s="95"/>
      <c r="O461" s="99"/>
    </row>
    <row r="462" spans="2:15" ht="15.75" thickTop="1">
      <c r="B462" s="137"/>
      <c r="C462" s="138"/>
      <c r="D462" s="25"/>
      <c r="E462" s="60"/>
      <c r="F462" s="65"/>
      <c r="G462" s="66"/>
      <c r="H462" s="65"/>
      <c r="I462" s="66"/>
      <c r="J462" s="65"/>
      <c r="K462" s="66"/>
      <c r="M462" s="39"/>
      <c r="N462" s="96"/>
      <c r="O462" s="40"/>
    </row>
    <row r="463" spans="2:15">
      <c r="B463" s="137"/>
      <c r="C463" s="138"/>
      <c r="D463" s="67" t="s">
        <v>36</v>
      </c>
      <c r="E463" s="60"/>
      <c r="F463" s="65"/>
      <c r="G463" s="66"/>
      <c r="H463" s="65"/>
      <c r="I463" s="66"/>
      <c r="J463" s="65"/>
      <c r="K463" s="66"/>
      <c r="M463" s="39"/>
      <c r="N463" s="96"/>
      <c r="O463" s="40"/>
    </row>
    <row r="464" spans="2:15" ht="15.75" thickBot="1">
      <c r="B464" s="139"/>
      <c r="C464" s="140"/>
      <c r="D464" s="68">
        <f>D462/60</f>
        <v>0</v>
      </c>
      <c r="E464" s="60"/>
      <c r="F464" s="69"/>
      <c r="G464" s="70"/>
      <c r="H464" s="70"/>
      <c r="I464" s="70"/>
      <c r="J464" s="71"/>
      <c r="K464" s="71"/>
      <c r="M464" s="39"/>
      <c r="N464" s="96"/>
      <c r="O464" s="40"/>
    </row>
    <row r="465" spans="2:17" ht="15.75" thickTop="1">
      <c r="M465" s="39"/>
      <c r="N465" s="96"/>
      <c r="O465" s="40"/>
    </row>
    <row r="466" spans="2:17" ht="15.75" thickBot="1">
      <c r="M466" s="39"/>
      <c r="N466" s="96"/>
      <c r="O466" s="40"/>
    </row>
    <row r="467" spans="2:17" ht="27" thickTop="1" thickBot="1">
      <c r="B467" s="33" t="s">
        <v>65</v>
      </c>
      <c r="C467" s="34" t="s">
        <v>1</v>
      </c>
      <c r="D467" s="102"/>
      <c r="E467" s="103"/>
      <c r="F467" s="103"/>
      <c r="G467" s="103"/>
      <c r="H467" s="103"/>
      <c r="I467" s="103"/>
      <c r="J467" s="103"/>
      <c r="K467" s="104"/>
      <c r="M467" s="39"/>
      <c r="N467" s="96"/>
      <c r="O467" s="40"/>
    </row>
    <row r="468" spans="2:17" ht="17.100000000000001" customHeight="1" thickTop="1">
      <c r="B468" s="105" t="s">
        <v>2</v>
      </c>
      <c r="C468" s="38" t="s">
        <v>3</v>
      </c>
      <c r="D468" s="116" t="s">
        <v>4</v>
      </c>
      <c r="E468" s="117"/>
      <c r="F468" s="117"/>
      <c r="G468" s="117"/>
      <c r="H468" s="117"/>
      <c r="I468" s="117"/>
      <c r="J468" s="117"/>
      <c r="K468" s="118"/>
      <c r="M468" s="39"/>
      <c r="N468" s="96"/>
      <c r="O468" s="40"/>
    </row>
    <row r="469" spans="2:17" ht="16.149999999999999" customHeight="1">
      <c r="B469" s="106"/>
      <c r="C469" s="41" t="s">
        <v>5</v>
      </c>
      <c r="D469" s="119" t="s">
        <v>4</v>
      </c>
      <c r="E469" s="120"/>
      <c r="F469" s="120"/>
      <c r="G469" s="120"/>
      <c r="H469" s="120"/>
      <c r="I469" s="120"/>
      <c r="J469" s="120"/>
      <c r="K469" s="121"/>
      <c r="M469" s="39"/>
      <c r="N469" s="96"/>
      <c r="O469" s="40"/>
    </row>
    <row r="470" spans="2:17" ht="17.100000000000001" customHeight="1" thickBot="1">
      <c r="B470" s="107"/>
      <c r="C470" s="43" t="s">
        <v>7</v>
      </c>
      <c r="D470" s="112" t="s">
        <v>4</v>
      </c>
      <c r="E470" s="113"/>
      <c r="F470" s="113"/>
      <c r="G470" s="113"/>
      <c r="H470" s="113"/>
      <c r="I470" s="113"/>
      <c r="J470" s="113"/>
      <c r="K470" s="114"/>
      <c r="M470" s="39"/>
      <c r="N470" s="96"/>
      <c r="O470" s="40"/>
    </row>
    <row r="471" spans="2:17" ht="16.149999999999999" thickTop="1" thickBot="1"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M471" s="39"/>
      <c r="N471" s="96"/>
      <c r="O471" s="40"/>
    </row>
    <row r="472" spans="2:17" ht="15.75" thickTop="1">
      <c r="B472" s="128" t="s">
        <v>11</v>
      </c>
      <c r="C472" s="129"/>
      <c r="D472" s="47" t="s">
        <v>12</v>
      </c>
      <c r="E472" s="88"/>
      <c r="F472" s="130" t="s">
        <v>13</v>
      </c>
      <c r="G472" s="131"/>
      <c r="H472" s="131"/>
      <c r="I472" s="131"/>
      <c r="J472" s="131"/>
      <c r="K472" s="132"/>
      <c r="M472" s="39"/>
      <c r="N472" s="90" t="s">
        <v>14</v>
      </c>
      <c r="O472" s="98"/>
    </row>
    <row r="473" spans="2:17" ht="15.75" thickBot="1">
      <c r="B473" s="133" t="s">
        <v>15</v>
      </c>
      <c r="C473" s="134"/>
      <c r="D473" s="49" t="s">
        <v>16</v>
      </c>
      <c r="E473" s="88"/>
      <c r="F473" s="50" t="s">
        <v>14</v>
      </c>
      <c r="G473" s="52" t="s">
        <v>17</v>
      </c>
      <c r="H473" s="51" t="s">
        <v>18</v>
      </c>
      <c r="I473" s="51" t="s">
        <v>19</v>
      </c>
      <c r="J473" s="52" t="s">
        <v>20</v>
      </c>
      <c r="K473" s="77" t="s">
        <v>19</v>
      </c>
      <c r="M473" s="39"/>
      <c r="N473" s="95"/>
      <c r="O473" s="99"/>
    </row>
    <row r="474" spans="2:17">
      <c r="B474" s="135">
        <f>B426</f>
        <v>0</v>
      </c>
      <c r="C474" s="136"/>
      <c r="D474" s="55">
        <f>IF(D478&lt;380, 1.05*D478, D478)</f>
        <v>0</v>
      </c>
      <c r="E474" s="88"/>
      <c r="F474" s="56" t="s">
        <v>22</v>
      </c>
      <c r="G474" s="94">
        <f>N473*0.998</f>
        <v>0</v>
      </c>
      <c r="H474" s="56" t="s">
        <v>23</v>
      </c>
      <c r="I474" s="91">
        <f>N475*1.003</f>
        <v>0</v>
      </c>
      <c r="J474" s="57" t="s">
        <v>24</v>
      </c>
      <c r="K474" s="93">
        <f>N477*1.004</f>
        <v>0</v>
      </c>
      <c r="M474" s="39"/>
      <c r="N474" s="90" t="s">
        <v>18</v>
      </c>
      <c r="O474" s="98"/>
    </row>
    <row r="475" spans="2:17" ht="15.75" thickBot="1">
      <c r="B475" s="137"/>
      <c r="C475" s="138"/>
      <c r="D475" s="55">
        <f>IF(D478&lt;380, 0.75*D478, D478)</f>
        <v>0</v>
      </c>
      <c r="E475" s="88"/>
      <c r="F475" s="56" t="s">
        <v>25</v>
      </c>
      <c r="G475" s="94">
        <f>N473*1.003</f>
        <v>0</v>
      </c>
      <c r="H475" s="56" t="s">
        <v>26</v>
      </c>
      <c r="I475" s="91">
        <f>N475*1.002</f>
        <v>0</v>
      </c>
      <c r="J475" s="57" t="s">
        <v>27</v>
      </c>
      <c r="K475" s="93">
        <f>N477*1.002</f>
        <v>0</v>
      </c>
      <c r="M475" s="39"/>
      <c r="N475" s="95"/>
      <c r="O475" s="99"/>
    </row>
    <row r="476" spans="2:17">
      <c r="B476" s="137"/>
      <c r="C476" s="138"/>
      <c r="D476" s="55">
        <f>IF(D478&lt;380, 1.2*D478, D478)</f>
        <v>0</v>
      </c>
      <c r="E476" s="88"/>
      <c r="F476" s="56" t="s">
        <v>28</v>
      </c>
      <c r="G476" s="94">
        <f>N473*1.001</f>
        <v>0</v>
      </c>
      <c r="H476" s="56" t="s">
        <v>29</v>
      </c>
      <c r="I476" s="91">
        <f>N475*1.001</f>
        <v>0</v>
      </c>
      <c r="J476" s="57" t="s">
        <v>30</v>
      </c>
      <c r="K476" s="93">
        <f>N477*1.003</f>
        <v>0</v>
      </c>
      <c r="M476" s="39"/>
      <c r="N476" s="90" t="s">
        <v>20</v>
      </c>
      <c r="O476" s="98"/>
    </row>
    <row r="477" spans="2:17" ht="15.75" thickBot="1">
      <c r="B477" s="137"/>
      <c r="C477" s="138"/>
      <c r="D477" s="49" t="s">
        <v>31</v>
      </c>
      <c r="E477" s="60"/>
      <c r="F477" s="61" t="s">
        <v>32</v>
      </c>
      <c r="G477" s="79">
        <f>10*LOG10((1/3)*(10^(0.1*G474)+10^(0.1*G475)+10^(0.1*G476)))</f>
        <v>0</v>
      </c>
      <c r="H477" s="61" t="s">
        <v>33</v>
      </c>
      <c r="I477" s="79">
        <f>10*LOG10((1/3)*(10^(0.1*I474)+10^(0.1*I475)+10^(0.1*I476)))</f>
        <v>0</v>
      </c>
      <c r="J477" s="63" t="s">
        <v>34</v>
      </c>
      <c r="K477" s="78">
        <f>(K474+K475+K476)/3</f>
        <v>0</v>
      </c>
      <c r="M477" s="39"/>
      <c r="N477" s="95"/>
      <c r="O477" s="99"/>
      <c r="Q477" s="28"/>
    </row>
    <row r="478" spans="2:17" ht="15.75" thickTop="1">
      <c r="B478" s="137"/>
      <c r="C478" s="138"/>
      <c r="D478" s="25"/>
      <c r="E478" s="60"/>
      <c r="F478" s="65"/>
      <c r="G478" s="66"/>
      <c r="H478" s="65"/>
      <c r="I478" s="66"/>
      <c r="J478" s="65"/>
      <c r="K478" s="66"/>
      <c r="M478" s="39"/>
      <c r="N478" s="96"/>
      <c r="O478" s="40"/>
    </row>
    <row r="479" spans="2:17">
      <c r="B479" s="137"/>
      <c r="C479" s="138"/>
      <c r="D479" s="67" t="s">
        <v>36</v>
      </c>
      <c r="E479" s="60"/>
      <c r="F479" s="65"/>
      <c r="G479" s="66"/>
      <c r="H479" s="65"/>
      <c r="I479" s="66"/>
      <c r="J479" s="65"/>
      <c r="K479" s="66"/>
      <c r="M479" s="39"/>
      <c r="N479" s="96"/>
      <c r="O479" s="40"/>
    </row>
    <row r="480" spans="2:17" ht="15.75" thickBot="1">
      <c r="B480" s="139"/>
      <c r="C480" s="140"/>
      <c r="D480" s="68">
        <f>D478/60</f>
        <v>0</v>
      </c>
      <c r="E480" s="60"/>
      <c r="F480" s="69"/>
      <c r="G480" s="70"/>
      <c r="H480" s="70"/>
      <c r="I480" s="70"/>
      <c r="J480" s="71"/>
      <c r="K480" s="71"/>
      <c r="M480" s="73"/>
      <c r="N480" s="100"/>
      <c r="O480" s="75"/>
    </row>
    <row r="481" ht="15.75" thickTop="1"/>
  </sheetData>
  <sheetProtection algorithmName="SHA-512" hashValue="9dr+Tabd2coJaqyvYP6Jn3Zau1MIOROPwPvmYembVvg/TEfOQpXwcfBUEapTWd22RcPU6lC4qkl7lmqFCrYy1g==" saltValue="4FX8M3YaAHqqiL0NyswaDQ==" spinCount="100000" sheet="1" objects="1" scenarios="1"/>
  <mergeCells count="307">
    <mergeCell ref="B169:C169"/>
    <mergeCell ref="B170:C176"/>
    <mergeCell ref="D148:K148"/>
    <mergeCell ref="D149:K149"/>
    <mergeCell ref="D150:K150"/>
    <mergeCell ref="F216:K216"/>
    <mergeCell ref="B199:K199"/>
    <mergeCell ref="B200:C200"/>
    <mergeCell ref="F200:K200"/>
    <mergeCell ref="B201:C201"/>
    <mergeCell ref="B202:C208"/>
    <mergeCell ref="R5:T5"/>
    <mergeCell ref="R4:T4"/>
    <mergeCell ref="S14:S15"/>
    <mergeCell ref="S6:S7"/>
    <mergeCell ref="R9:T9"/>
    <mergeCell ref="S10:S11"/>
    <mergeCell ref="R13:T13"/>
    <mergeCell ref="D179:K179"/>
    <mergeCell ref="B153:C153"/>
    <mergeCell ref="B154:C160"/>
    <mergeCell ref="B164:B166"/>
    <mergeCell ref="B148:B150"/>
    <mergeCell ref="D166:K166"/>
    <mergeCell ref="D165:K165"/>
    <mergeCell ref="D164:K164"/>
    <mergeCell ref="D163:K163"/>
    <mergeCell ref="B167:K167"/>
    <mergeCell ref="B168:C168"/>
    <mergeCell ref="F136:K136"/>
    <mergeCell ref="B137:C137"/>
    <mergeCell ref="B138:C144"/>
    <mergeCell ref="D147:K147"/>
    <mergeCell ref="B121:C121"/>
    <mergeCell ref="B122:C128"/>
    <mergeCell ref="B279:K279"/>
    <mergeCell ref="B280:C280"/>
    <mergeCell ref="F280:K280"/>
    <mergeCell ref="B263:K263"/>
    <mergeCell ref="B264:C264"/>
    <mergeCell ref="F264:K264"/>
    <mergeCell ref="B265:C265"/>
    <mergeCell ref="B266:C272"/>
    <mergeCell ref="B151:K151"/>
    <mergeCell ref="B152:C152"/>
    <mergeCell ref="F152:K152"/>
    <mergeCell ref="D228:K228"/>
    <mergeCell ref="D227:K227"/>
    <mergeCell ref="D198:K198"/>
    <mergeCell ref="D197:K197"/>
    <mergeCell ref="B217:C217"/>
    <mergeCell ref="B218:C224"/>
    <mergeCell ref="B228:B230"/>
    <mergeCell ref="B212:B214"/>
    <mergeCell ref="D212:K212"/>
    <mergeCell ref="D213:K213"/>
    <mergeCell ref="D214:K214"/>
    <mergeCell ref="B215:K215"/>
    <mergeCell ref="B216:C216"/>
    <mergeCell ref="B276:B278"/>
    <mergeCell ref="D276:K276"/>
    <mergeCell ref="D277:K277"/>
    <mergeCell ref="D278:K278"/>
    <mergeCell ref="D275:K275"/>
    <mergeCell ref="B249:C249"/>
    <mergeCell ref="B250:C256"/>
    <mergeCell ref="B260:B262"/>
    <mergeCell ref="B244:B246"/>
    <mergeCell ref="D244:K244"/>
    <mergeCell ref="D245:K245"/>
    <mergeCell ref="D246:K246"/>
    <mergeCell ref="B247:K247"/>
    <mergeCell ref="B248:C248"/>
    <mergeCell ref="F248:K248"/>
    <mergeCell ref="D262:K262"/>
    <mergeCell ref="D261:K261"/>
    <mergeCell ref="D260:K260"/>
    <mergeCell ref="D371:K371"/>
    <mergeCell ref="B345:C345"/>
    <mergeCell ref="B346:C352"/>
    <mergeCell ref="B356:B358"/>
    <mergeCell ref="B340:B342"/>
    <mergeCell ref="D340:K340"/>
    <mergeCell ref="D341:K341"/>
    <mergeCell ref="D230:K230"/>
    <mergeCell ref="D229:K229"/>
    <mergeCell ref="D358:K358"/>
    <mergeCell ref="D357:K357"/>
    <mergeCell ref="D356:K356"/>
    <mergeCell ref="D355:K355"/>
    <mergeCell ref="B359:K359"/>
    <mergeCell ref="B360:C360"/>
    <mergeCell ref="F360:K360"/>
    <mergeCell ref="B361:C361"/>
    <mergeCell ref="B362:C368"/>
    <mergeCell ref="D342:K342"/>
    <mergeCell ref="B343:K343"/>
    <mergeCell ref="B344:C344"/>
    <mergeCell ref="F344:K344"/>
    <mergeCell ref="B327:K327"/>
    <mergeCell ref="B328:C328"/>
    <mergeCell ref="B473:C473"/>
    <mergeCell ref="B474:C480"/>
    <mergeCell ref="D454:K454"/>
    <mergeCell ref="D453:K453"/>
    <mergeCell ref="D452:K452"/>
    <mergeCell ref="D451:K451"/>
    <mergeCell ref="B468:B470"/>
    <mergeCell ref="D468:K468"/>
    <mergeCell ref="D469:K469"/>
    <mergeCell ref="D470:K470"/>
    <mergeCell ref="B471:K471"/>
    <mergeCell ref="B472:C472"/>
    <mergeCell ref="F472:K472"/>
    <mergeCell ref="B455:K455"/>
    <mergeCell ref="B456:C456"/>
    <mergeCell ref="F456:K456"/>
    <mergeCell ref="B457:C457"/>
    <mergeCell ref="B458:C464"/>
    <mergeCell ref="D467:K467"/>
    <mergeCell ref="B441:C441"/>
    <mergeCell ref="B442:C448"/>
    <mergeCell ref="B452:B454"/>
    <mergeCell ref="B436:B438"/>
    <mergeCell ref="D436:K436"/>
    <mergeCell ref="D437:K437"/>
    <mergeCell ref="D438:K438"/>
    <mergeCell ref="B439:K439"/>
    <mergeCell ref="B440:C440"/>
    <mergeCell ref="F440:K440"/>
    <mergeCell ref="B423:K423"/>
    <mergeCell ref="B424:C424"/>
    <mergeCell ref="F424:K424"/>
    <mergeCell ref="B425:C425"/>
    <mergeCell ref="B426:C432"/>
    <mergeCell ref="D435:K435"/>
    <mergeCell ref="B409:C409"/>
    <mergeCell ref="B410:C416"/>
    <mergeCell ref="B420:B422"/>
    <mergeCell ref="D422:K422"/>
    <mergeCell ref="D421:K421"/>
    <mergeCell ref="D420:K420"/>
    <mergeCell ref="D419:K419"/>
    <mergeCell ref="B404:B406"/>
    <mergeCell ref="D404:K404"/>
    <mergeCell ref="D405:K405"/>
    <mergeCell ref="D406:K406"/>
    <mergeCell ref="B407:K407"/>
    <mergeCell ref="B408:C408"/>
    <mergeCell ref="F408:K408"/>
    <mergeCell ref="B391:K391"/>
    <mergeCell ref="B392:C392"/>
    <mergeCell ref="F392:K392"/>
    <mergeCell ref="B393:C393"/>
    <mergeCell ref="B394:C400"/>
    <mergeCell ref="D403:K403"/>
    <mergeCell ref="B377:C377"/>
    <mergeCell ref="B378:C384"/>
    <mergeCell ref="B388:B390"/>
    <mergeCell ref="B372:B374"/>
    <mergeCell ref="D372:K372"/>
    <mergeCell ref="D373:K373"/>
    <mergeCell ref="D374:K374"/>
    <mergeCell ref="B375:K375"/>
    <mergeCell ref="B376:C376"/>
    <mergeCell ref="F376:K376"/>
    <mergeCell ref="D390:K390"/>
    <mergeCell ref="D389:K389"/>
    <mergeCell ref="D388:K388"/>
    <mergeCell ref="D387:K387"/>
    <mergeCell ref="F328:K328"/>
    <mergeCell ref="B329:C329"/>
    <mergeCell ref="B330:C336"/>
    <mergeCell ref="D339:K339"/>
    <mergeCell ref="B313:C313"/>
    <mergeCell ref="B314:C320"/>
    <mergeCell ref="B324:B326"/>
    <mergeCell ref="B308:B310"/>
    <mergeCell ref="D308:K308"/>
    <mergeCell ref="D309:K309"/>
    <mergeCell ref="D310:K310"/>
    <mergeCell ref="B311:K311"/>
    <mergeCell ref="B312:C312"/>
    <mergeCell ref="F312:K312"/>
    <mergeCell ref="D326:K326"/>
    <mergeCell ref="D325:K325"/>
    <mergeCell ref="D324:K324"/>
    <mergeCell ref="D323:K323"/>
    <mergeCell ref="B295:K295"/>
    <mergeCell ref="B296:C296"/>
    <mergeCell ref="F296:K296"/>
    <mergeCell ref="B297:C297"/>
    <mergeCell ref="B298:C304"/>
    <mergeCell ref="D307:K307"/>
    <mergeCell ref="B281:C281"/>
    <mergeCell ref="B282:C288"/>
    <mergeCell ref="B292:B294"/>
    <mergeCell ref="D294:K294"/>
    <mergeCell ref="D293:K293"/>
    <mergeCell ref="D292:K292"/>
    <mergeCell ref="D291:K291"/>
    <mergeCell ref="D133:K133"/>
    <mergeCell ref="D132:K132"/>
    <mergeCell ref="D131:K131"/>
    <mergeCell ref="D259:K259"/>
    <mergeCell ref="D211:K211"/>
    <mergeCell ref="B185:C185"/>
    <mergeCell ref="B186:C192"/>
    <mergeCell ref="B196:B198"/>
    <mergeCell ref="B180:B182"/>
    <mergeCell ref="D180:K180"/>
    <mergeCell ref="D181:K181"/>
    <mergeCell ref="D182:K182"/>
    <mergeCell ref="B183:K183"/>
    <mergeCell ref="B184:C184"/>
    <mergeCell ref="F184:K184"/>
    <mergeCell ref="D196:K196"/>
    <mergeCell ref="D195:K195"/>
    <mergeCell ref="B231:K231"/>
    <mergeCell ref="B232:C232"/>
    <mergeCell ref="F232:K232"/>
    <mergeCell ref="B233:C233"/>
    <mergeCell ref="B234:C240"/>
    <mergeCell ref="D243:K243"/>
    <mergeCell ref="F168:K168"/>
    <mergeCell ref="B135:K135"/>
    <mergeCell ref="B136:C136"/>
    <mergeCell ref="B103:K103"/>
    <mergeCell ref="B104:C104"/>
    <mergeCell ref="F104:K104"/>
    <mergeCell ref="B105:C105"/>
    <mergeCell ref="B106:C112"/>
    <mergeCell ref="D115:K115"/>
    <mergeCell ref="B89:C89"/>
    <mergeCell ref="B90:C96"/>
    <mergeCell ref="B100:B102"/>
    <mergeCell ref="D100:K100"/>
    <mergeCell ref="D99:K99"/>
    <mergeCell ref="D102:K102"/>
    <mergeCell ref="D101:K101"/>
    <mergeCell ref="B132:B134"/>
    <mergeCell ref="B116:B118"/>
    <mergeCell ref="D116:K116"/>
    <mergeCell ref="D117:K117"/>
    <mergeCell ref="D118:K118"/>
    <mergeCell ref="B119:K119"/>
    <mergeCell ref="B120:C120"/>
    <mergeCell ref="F120:K120"/>
    <mergeCell ref="D134:K134"/>
    <mergeCell ref="B87:K87"/>
    <mergeCell ref="B88:C88"/>
    <mergeCell ref="F88:K88"/>
    <mergeCell ref="B71:K71"/>
    <mergeCell ref="B72:C72"/>
    <mergeCell ref="F72:K72"/>
    <mergeCell ref="B73:C73"/>
    <mergeCell ref="B74:C80"/>
    <mergeCell ref="D83:K83"/>
    <mergeCell ref="B58:C64"/>
    <mergeCell ref="D67:K67"/>
    <mergeCell ref="B68:B70"/>
    <mergeCell ref="D68:K68"/>
    <mergeCell ref="D69:K69"/>
    <mergeCell ref="D70:K70"/>
    <mergeCell ref="B84:B86"/>
    <mergeCell ref="D84:K84"/>
    <mergeCell ref="D85:K85"/>
    <mergeCell ref="D86:K86"/>
    <mergeCell ref="B55:K55"/>
    <mergeCell ref="B39:K39"/>
    <mergeCell ref="B40:C40"/>
    <mergeCell ref="F40:K40"/>
    <mergeCell ref="B41:C41"/>
    <mergeCell ref="B42:C48"/>
    <mergeCell ref="B56:C56"/>
    <mergeCell ref="F56:K56"/>
    <mergeCell ref="B57:C57"/>
    <mergeCell ref="D35:K35"/>
    <mergeCell ref="B36:B38"/>
    <mergeCell ref="D36:K36"/>
    <mergeCell ref="D37:K37"/>
    <mergeCell ref="D38:K38"/>
    <mergeCell ref="D51:K51"/>
    <mergeCell ref="B52:B54"/>
    <mergeCell ref="D52:K52"/>
    <mergeCell ref="D53:K53"/>
    <mergeCell ref="D54:K54"/>
    <mergeCell ref="B23:K23"/>
    <mergeCell ref="B10:C16"/>
    <mergeCell ref="B8:C8"/>
    <mergeCell ref="F8:K8"/>
    <mergeCell ref="B9:C9"/>
    <mergeCell ref="B24:C24"/>
    <mergeCell ref="F24:K24"/>
    <mergeCell ref="B25:C25"/>
    <mergeCell ref="B26:C32"/>
    <mergeCell ref="D3:K3"/>
    <mergeCell ref="B4:B6"/>
    <mergeCell ref="D4:K4"/>
    <mergeCell ref="D5:K5"/>
    <mergeCell ref="D6:K6"/>
    <mergeCell ref="B7:K7"/>
    <mergeCell ref="D19:K19"/>
    <mergeCell ref="B20:B22"/>
    <mergeCell ref="D20:K20"/>
    <mergeCell ref="D21:K21"/>
    <mergeCell ref="D22:K22"/>
  </mergeCells>
  <phoneticPr fontId="15" type="noConversion"/>
  <conditionalFormatting sqref="G13:G15 I13:I15 K13:K15">
    <cfRule type="cellIs" dxfId="58" priority="91" stopIfTrue="1" operator="equal">
      <formula>0</formula>
    </cfRule>
  </conditionalFormatting>
  <conditionalFormatting sqref="G29 K29">
    <cfRule type="cellIs" dxfId="57" priority="90" stopIfTrue="1" operator="equal">
      <formula>0</formula>
    </cfRule>
  </conditionalFormatting>
  <conditionalFormatting sqref="G45:G47 K45:K47">
    <cfRule type="cellIs" dxfId="56" priority="89" stopIfTrue="1" operator="equal">
      <formula>0</formula>
    </cfRule>
  </conditionalFormatting>
  <conditionalFormatting sqref="G61:G63 K61:K63">
    <cfRule type="cellIs" dxfId="55" priority="88" stopIfTrue="1" operator="equal">
      <formula>0</formula>
    </cfRule>
  </conditionalFormatting>
  <conditionalFormatting sqref="G77:G79 K77:K79">
    <cfRule type="cellIs" dxfId="54" priority="87" stopIfTrue="1" operator="equal">
      <formula>0</formula>
    </cfRule>
  </conditionalFormatting>
  <conditionalFormatting sqref="G93:G95 K93:K95">
    <cfRule type="cellIs" dxfId="53" priority="86" stopIfTrue="1" operator="equal">
      <formula>0</formula>
    </cfRule>
  </conditionalFormatting>
  <conditionalFormatting sqref="G109:G111 K109:K111">
    <cfRule type="cellIs" dxfId="52" priority="85" stopIfTrue="1" operator="equal">
      <formula>0</formula>
    </cfRule>
  </conditionalFormatting>
  <conditionalFormatting sqref="G125:G127 K125:K127">
    <cfRule type="cellIs" dxfId="51" priority="84" stopIfTrue="1" operator="equal">
      <formula>0</formula>
    </cfRule>
  </conditionalFormatting>
  <conditionalFormatting sqref="G141:G143 K141:K143">
    <cfRule type="cellIs" dxfId="50" priority="83" stopIfTrue="1" operator="equal">
      <formula>0</formula>
    </cfRule>
  </conditionalFormatting>
  <conditionalFormatting sqref="G157:G159 K157:K159">
    <cfRule type="cellIs" dxfId="49" priority="82" stopIfTrue="1" operator="equal">
      <formula>0</formula>
    </cfRule>
  </conditionalFormatting>
  <conditionalFormatting sqref="G173:G175 K173:K175">
    <cfRule type="cellIs" dxfId="48" priority="81" stopIfTrue="1" operator="equal">
      <formula>0</formula>
    </cfRule>
  </conditionalFormatting>
  <conditionalFormatting sqref="G189:G191 K189:K191">
    <cfRule type="cellIs" dxfId="47" priority="80" stopIfTrue="1" operator="equal">
      <formula>0</formula>
    </cfRule>
  </conditionalFormatting>
  <conditionalFormatting sqref="G205:G207 K205:K207">
    <cfRule type="cellIs" dxfId="46" priority="79" stopIfTrue="1" operator="equal">
      <formula>0</formula>
    </cfRule>
  </conditionalFormatting>
  <conditionalFormatting sqref="G221:G223 K221:K223">
    <cfRule type="cellIs" dxfId="45" priority="78" stopIfTrue="1" operator="equal">
      <formula>0</formula>
    </cfRule>
  </conditionalFormatting>
  <conditionalFormatting sqref="G237:G239 K237:K239">
    <cfRule type="cellIs" dxfId="44" priority="77" stopIfTrue="1" operator="equal">
      <formula>0</formula>
    </cfRule>
  </conditionalFormatting>
  <conditionalFormatting sqref="G253:G255 K253:K255">
    <cfRule type="cellIs" dxfId="43" priority="76" stopIfTrue="1" operator="equal">
      <formula>0</formula>
    </cfRule>
  </conditionalFormatting>
  <conditionalFormatting sqref="G269:G271 K269:K271">
    <cfRule type="cellIs" dxfId="42" priority="75" stopIfTrue="1" operator="equal">
      <formula>0</formula>
    </cfRule>
  </conditionalFormatting>
  <conditionalFormatting sqref="G285:G287 K285:K287">
    <cfRule type="cellIs" dxfId="41" priority="74" stopIfTrue="1" operator="equal">
      <formula>0</formula>
    </cfRule>
  </conditionalFormatting>
  <conditionalFormatting sqref="G301:G303 K301:K303">
    <cfRule type="cellIs" dxfId="40" priority="73" stopIfTrue="1" operator="equal">
      <formula>0</formula>
    </cfRule>
  </conditionalFormatting>
  <conditionalFormatting sqref="G317:G319 K317:K319">
    <cfRule type="cellIs" dxfId="39" priority="72" stopIfTrue="1" operator="equal">
      <formula>0</formula>
    </cfRule>
  </conditionalFormatting>
  <conditionalFormatting sqref="G333:G335 K333:K335">
    <cfRule type="cellIs" dxfId="38" priority="71" stopIfTrue="1" operator="equal">
      <formula>0</formula>
    </cfRule>
  </conditionalFormatting>
  <conditionalFormatting sqref="G349:G351 K349:K351">
    <cfRule type="cellIs" dxfId="37" priority="70" stopIfTrue="1" operator="equal">
      <formula>0</formula>
    </cfRule>
  </conditionalFormatting>
  <conditionalFormatting sqref="G365:G367 K365:K367">
    <cfRule type="cellIs" dxfId="36" priority="69" stopIfTrue="1" operator="equal">
      <formula>0</formula>
    </cfRule>
  </conditionalFormatting>
  <conditionalFormatting sqref="G381:G383 K381:K383">
    <cfRule type="cellIs" dxfId="35" priority="68" stopIfTrue="1" operator="equal">
      <formula>0</formula>
    </cfRule>
  </conditionalFormatting>
  <conditionalFormatting sqref="G397:G399 K397:K399">
    <cfRule type="cellIs" dxfId="34" priority="67" stopIfTrue="1" operator="equal">
      <formula>0</formula>
    </cfRule>
  </conditionalFormatting>
  <conditionalFormatting sqref="G413:G415 K413:K415">
    <cfRule type="cellIs" dxfId="33" priority="66" stopIfTrue="1" operator="equal">
      <formula>0</formula>
    </cfRule>
  </conditionalFormatting>
  <conditionalFormatting sqref="G429:G431 K429:K431">
    <cfRule type="cellIs" dxfId="32" priority="65" stopIfTrue="1" operator="equal">
      <formula>0</formula>
    </cfRule>
  </conditionalFormatting>
  <conditionalFormatting sqref="G445:G447 K445:K447">
    <cfRule type="cellIs" dxfId="31" priority="64" stopIfTrue="1" operator="equal">
      <formula>0</formula>
    </cfRule>
  </conditionalFormatting>
  <conditionalFormatting sqref="G461:G463 K461:K463">
    <cfRule type="cellIs" dxfId="30" priority="63" stopIfTrue="1" operator="equal">
      <formula>0</formula>
    </cfRule>
  </conditionalFormatting>
  <conditionalFormatting sqref="G477:G479 K477:K479">
    <cfRule type="cellIs" dxfId="29" priority="62" stopIfTrue="1" operator="equal">
      <formula>0</formula>
    </cfRule>
  </conditionalFormatting>
  <conditionalFormatting sqref="I29">
    <cfRule type="cellIs" dxfId="28" priority="30" stopIfTrue="1" operator="equal">
      <formula>0</formula>
    </cfRule>
  </conditionalFormatting>
  <conditionalFormatting sqref="I45:I47">
    <cfRule type="cellIs" dxfId="27" priority="29" stopIfTrue="1" operator="equal">
      <formula>0</formula>
    </cfRule>
  </conditionalFormatting>
  <conditionalFormatting sqref="I61:I63">
    <cfRule type="cellIs" dxfId="26" priority="28" stopIfTrue="1" operator="equal">
      <formula>0</formula>
    </cfRule>
  </conditionalFormatting>
  <conditionalFormatting sqref="I77:I79">
    <cfRule type="cellIs" dxfId="25" priority="27" stopIfTrue="1" operator="equal">
      <formula>0</formula>
    </cfRule>
  </conditionalFormatting>
  <conditionalFormatting sqref="I93:I95">
    <cfRule type="cellIs" dxfId="24" priority="26" stopIfTrue="1" operator="equal">
      <formula>0</formula>
    </cfRule>
  </conditionalFormatting>
  <conditionalFormatting sqref="I109:I111">
    <cfRule type="cellIs" dxfId="23" priority="25" stopIfTrue="1" operator="equal">
      <formula>0</formula>
    </cfRule>
  </conditionalFormatting>
  <conditionalFormatting sqref="I125:I127">
    <cfRule type="cellIs" dxfId="22" priority="24" stopIfTrue="1" operator="equal">
      <formula>0</formula>
    </cfRule>
  </conditionalFormatting>
  <conditionalFormatting sqref="I141:I143">
    <cfRule type="cellIs" dxfId="21" priority="23" stopIfTrue="1" operator="equal">
      <formula>0</formula>
    </cfRule>
  </conditionalFormatting>
  <conditionalFormatting sqref="I157:I159">
    <cfRule type="cellIs" dxfId="20" priority="22" stopIfTrue="1" operator="equal">
      <formula>0</formula>
    </cfRule>
  </conditionalFormatting>
  <conditionalFormatting sqref="I173:I175">
    <cfRule type="cellIs" dxfId="19" priority="21" stopIfTrue="1" operator="equal">
      <formula>0</formula>
    </cfRule>
  </conditionalFormatting>
  <conditionalFormatting sqref="I189:I191">
    <cfRule type="cellIs" dxfId="18" priority="20" stopIfTrue="1" operator="equal">
      <formula>0</formula>
    </cfRule>
  </conditionalFormatting>
  <conditionalFormatting sqref="I205:I207">
    <cfRule type="cellIs" dxfId="17" priority="19" stopIfTrue="1" operator="equal">
      <formula>0</formula>
    </cfRule>
  </conditionalFormatting>
  <conditionalFormatting sqref="I221:I223">
    <cfRule type="cellIs" dxfId="16" priority="18" stopIfTrue="1" operator="equal">
      <formula>0</formula>
    </cfRule>
  </conditionalFormatting>
  <conditionalFormatting sqref="I237:I239">
    <cfRule type="cellIs" dxfId="15" priority="17" stopIfTrue="1" operator="equal">
      <formula>0</formula>
    </cfRule>
  </conditionalFormatting>
  <conditionalFormatting sqref="I253:I255">
    <cfRule type="cellIs" dxfId="14" priority="16" stopIfTrue="1" operator="equal">
      <formula>0</formula>
    </cfRule>
  </conditionalFormatting>
  <conditionalFormatting sqref="I269:I271">
    <cfRule type="cellIs" dxfId="13" priority="15" stopIfTrue="1" operator="equal">
      <formula>0</formula>
    </cfRule>
  </conditionalFormatting>
  <conditionalFormatting sqref="I285:I287">
    <cfRule type="cellIs" dxfId="12" priority="14" stopIfTrue="1" operator="equal">
      <formula>0</formula>
    </cfRule>
  </conditionalFormatting>
  <conditionalFormatting sqref="I301:I303">
    <cfRule type="cellIs" dxfId="11" priority="13" stopIfTrue="1" operator="equal">
      <formula>0</formula>
    </cfRule>
  </conditionalFormatting>
  <conditionalFormatting sqref="I317:I319">
    <cfRule type="cellIs" dxfId="10" priority="12" stopIfTrue="1" operator="equal">
      <formula>0</formula>
    </cfRule>
  </conditionalFormatting>
  <conditionalFormatting sqref="I333:I335">
    <cfRule type="cellIs" dxfId="9" priority="11" stopIfTrue="1" operator="equal">
      <formula>0</formula>
    </cfRule>
  </conditionalFormatting>
  <conditionalFormatting sqref="I349:I351">
    <cfRule type="cellIs" dxfId="8" priority="10" stopIfTrue="1" operator="equal">
      <formula>0</formula>
    </cfRule>
  </conditionalFormatting>
  <conditionalFormatting sqref="I365:I367">
    <cfRule type="cellIs" dxfId="7" priority="9" stopIfTrue="1" operator="equal">
      <formula>0</formula>
    </cfRule>
  </conditionalFormatting>
  <conditionalFormatting sqref="I381:I383">
    <cfRule type="cellIs" dxfId="6" priority="8" stopIfTrue="1" operator="equal">
      <formula>0</formula>
    </cfRule>
  </conditionalFormatting>
  <conditionalFormatting sqref="I397:I399">
    <cfRule type="cellIs" dxfId="5" priority="7" stopIfTrue="1" operator="equal">
      <formula>0</formula>
    </cfRule>
  </conditionalFormatting>
  <conditionalFormatting sqref="I413:I415">
    <cfRule type="cellIs" dxfId="4" priority="6" stopIfTrue="1" operator="equal">
      <formula>0</formula>
    </cfRule>
  </conditionalFormatting>
  <conditionalFormatting sqref="I429:I431">
    <cfRule type="cellIs" dxfId="3" priority="5" stopIfTrue="1" operator="equal">
      <formula>0</formula>
    </cfRule>
  </conditionalFormatting>
  <conditionalFormatting sqref="I445:I447">
    <cfRule type="cellIs" dxfId="2" priority="4" stopIfTrue="1" operator="equal">
      <formula>0</formula>
    </cfRule>
  </conditionalFormatting>
  <conditionalFormatting sqref="I461:I463">
    <cfRule type="cellIs" dxfId="1" priority="2" stopIfTrue="1" operator="equal">
      <formula>0</formula>
    </cfRule>
  </conditionalFormatting>
  <conditionalFormatting sqref="I477:I479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F79D-ECA3-784E-A577-E48EAB44D2CD}">
  <dimension ref="D1:U42"/>
  <sheetViews>
    <sheetView topLeftCell="C1" zoomScale="70" zoomScaleNormal="70" workbookViewId="0">
      <selection activeCell="R36" sqref="R36"/>
    </sheetView>
  </sheetViews>
  <sheetFormatPr defaultColWidth="15.875" defaultRowHeight="15.4"/>
  <cols>
    <col min="1" max="2" width="3.25" style="3" customWidth="1"/>
    <col min="3" max="3" width="5.375" style="3" customWidth="1"/>
    <col min="4" max="4" width="7" style="3" customWidth="1"/>
    <col min="5" max="5" width="45.5" style="1" customWidth="1"/>
    <col min="6" max="6" width="12.25" style="3" customWidth="1"/>
    <col min="7" max="7" width="12.375" style="3" customWidth="1"/>
    <col min="8" max="8" width="11.375" style="3" customWidth="1"/>
    <col min="9" max="9" width="12" style="3" customWidth="1"/>
    <col min="10" max="10" width="9.75" style="3" customWidth="1"/>
    <col min="11" max="11" width="13.5" style="3" customWidth="1"/>
    <col min="12" max="12" width="11.875" style="3" customWidth="1"/>
    <col min="13" max="14" width="9.375" style="3" customWidth="1"/>
    <col min="15" max="15" width="9" style="3" customWidth="1"/>
    <col min="16" max="16" width="6.875" style="3" customWidth="1"/>
    <col min="17" max="16384" width="15.875" style="3"/>
  </cols>
  <sheetData>
    <row r="1" spans="4:21" ht="15.75" thickBot="1"/>
    <row r="2" spans="4:21" ht="15.75" thickTop="1">
      <c r="E2" s="21" t="s">
        <v>66</v>
      </c>
      <c r="F2" s="22" t="e">
        <f>10*LOG10(((PM!D16/8)*10^(0.1*PM!G13))+((PM!D32/8)*10^(0.1*PM!G29))+((PM!D48/8)*10^(0.1*PM!G45))+((PM!D64/8)*10^(0.1*PM!G61))+((PM!D80/8)*10^(0.1*PM!G77))+((PM!D96/8)*10^(0.1*PM!G93))+((PM!D112/8)*10^(0.1*PM!G109))+((PM!D128/8)*10^(0.1*PM!G125))+((PM!D144/8)*10^(0.1*PM!G141))+((PM!D160/8)*10^(0.1*PM!G157))+((PM!D176/8)*10^(0.1*PM!G173))+((PM!D192/8)*10^(0.1*PM!G189))+((PM!D208/8)*10^(0.1*PM!G205))+((PM!D224/8)*10^(0.1*PM!G221))+((PM!D240/8)*10^(0.1*PM!G237))+((PM!D256/8)*10^(0.1*PM!G253))+((PM!D272/8)*10^(0.1*PM!G269))+((PM!D288/8)*10^(0.1*PM!G285))+((PM!D304/8)*10^(0.1*PM!G301))+((PM!D320/8)*10^(0.1*PM!G317))+((PM!D336/8)*10^(0.1*PM!G333))+((PM!D352/8)*10^(0.1*PM!G349))+((PM!D368/8)*10^(0.1*PM!G365))+((PM!D384/8)*10^(0.1*PM!G381))+((PM!D400/8)*10^(0.1*PM!G397))+((PM!D416/8)*10^(0.1*PM!G413))+((PM!D432/8)*10^(0.1*PM!G429))+((PM!D448/8)*10^(0.1*PM!G445))+((PM!D464/8)*10^(0.1*PM!G461))+((PM!D480/8)*10^(0.1*PM!G477)))</f>
        <v>#NUM!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4:21">
      <c r="E3" s="16" t="s">
        <v>67</v>
      </c>
      <c r="F3" s="152">
        <f>PM!B10</f>
        <v>0</v>
      </c>
      <c r="G3" s="152"/>
      <c r="H3" s="152"/>
      <c r="I3" s="152"/>
      <c r="J3" s="152"/>
      <c r="K3" s="152"/>
      <c r="L3" s="152"/>
      <c r="M3" s="152"/>
      <c r="N3" s="152"/>
      <c r="O3" s="152"/>
      <c r="P3" s="1"/>
      <c r="Q3" s="1"/>
      <c r="R3" s="1"/>
      <c r="S3" s="1"/>
      <c r="T3" s="1"/>
      <c r="U3" s="1"/>
    </row>
    <row r="4" spans="4:21" s="5" customFormat="1" ht="31.15" customHeight="1">
      <c r="E4" s="16" t="s">
        <v>4</v>
      </c>
      <c r="F4" s="16" t="s">
        <v>36</v>
      </c>
      <c r="G4" s="17" t="s">
        <v>68</v>
      </c>
      <c r="H4" s="17" t="s">
        <v>69</v>
      </c>
      <c r="I4" s="16" t="s">
        <v>70</v>
      </c>
      <c r="J4" s="16" t="s">
        <v>71</v>
      </c>
      <c r="K4" s="17" t="s">
        <v>72</v>
      </c>
      <c r="L4" s="17" t="s">
        <v>73</v>
      </c>
      <c r="M4" s="17" t="s">
        <v>74</v>
      </c>
      <c r="N4" s="16" t="s">
        <v>75</v>
      </c>
      <c r="O4" s="16" t="s">
        <v>76</v>
      </c>
    </row>
    <row r="5" spans="4:21">
      <c r="D5" s="4">
        <v>1</v>
      </c>
      <c r="E5" s="9">
        <f>PM!D3</f>
        <v>0</v>
      </c>
      <c r="F5" s="6">
        <f>PM!D16</f>
        <v>0</v>
      </c>
      <c r="G5" s="7">
        <f>PM!G13</f>
        <v>0</v>
      </c>
      <c r="H5" s="7">
        <f>PM!K13</f>
        <v>0</v>
      </c>
      <c r="I5" s="6" t="e">
        <f>((F5/8)*10^(0.1*(G5-F2)))</f>
        <v>#NUM!</v>
      </c>
      <c r="J5" s="6" t="e">
        <f>4.34*(I5/F5)</f>
        <v>#NUM!</v>
      </c>
      <c r="K5" s="7">
        <f xml:space="preserve"> (PM!G10+PM!G11+PM!G12)/3</f>
        <v>0</v>
      </c>
      <c r="L5" s="6">
        <f>SQRT((1/6)*((PM!G10-K5)^2+(PM!G11-K5)^2+(PM!G12-K5)^2))</f>
        <v>0</v>
      </c>
      <c r="M5" s="6">
        <f>SQRT((1/6)*(((PM!D10/60)-F5)^2+((PM!D11/60)-F5)^2+((PM!D12/60)-F5)^2))</f>
        <v>0</v>
      </c>
      <c r="N5" s="8">
        <v>0.7</v>
      </c>
      <c r="O5" s="8">
        <v>1</v>
      </c>
      <c r="Q5" s="10" t="e">
        <f>(I5^2)*((L5^2)+(N5^2)+(O5^2))+((J5*M5)^2)</f>
        <v>#NUM!</v>
      </c>
      <c r="R5" s="10">
        <f>IFERROR(Q5,0)</f>
        <v>0</v>
      </c>
    </row>
    <row r="6" spans="4:21">
      <c r="D6" s="4">
        <v>2</v>
      </c>
      <c r="E6" s="9">
        <f>PM!D19</f>
        <v>0</v>
      </c>
      <c r="F6" s="6">
        <f>PM!D32</f>
        <v>0</v>
      </c>
      <c r="G6" s="7">
        <f>PM!G29</f>
        <v>0</v>
      </c>
      <c r="H6" s="7">
        <f>PM!K29</f>
        <v>0</v>
      </c>
      <c r="I6" s="6" t="e">
        <f>((F6/8)*10^(0.1*(G6-F2)))</f>
        <v>#NUM!</v>
      </c>
      <c r="J6" s="6" t="e">
        <f>4.34*(I6/F6)</f>
        <v>#NUM!</v>
      </c>
      <c r="K6" s="7">
        <f xml:space="preserve"> (PM!G26+PM!G27+PM!G28)/3</f>
        <v>0</v>
      </c>
      <c r="L6" s="6">
        <f>SQRT((1/6)*((PM!G26-K6)^2+(PM!G27-K6)^2+(PM!G28-K6)^2))</f>
        <v>0</v>
      </c>
      <c r="M6" s="6">
        <f>SQRT((1/6)*(((PM!D26/60)-F6)^2+((PM!D27/60)-F6)^2+((PM!D28/60)-F6)^2))</f>
        <v>0</v>
      </c>
      <c r="N6" s="8">
        <v>0.7</v>
      </c>
      <c r="O6" s="8">
        <v>1</v>
      </c>
      <c r="Q6" s="10" t="e">
        <f>(I6^2)*((L6^2)+(N6^2)+(O6^2))+((J6*M6)^2)</f>
        <v>#NUM!</v>
      </c>
      <c r="R6" s="10">
        <f>IFERROR(Q6,0)</f>
        <v>0</v>
      </c>
    </row>
    <row r="7" spans="4:21">
      <c r="D7" s="4">
        <v>3</v>
      </c>
      <c r="E7" s="9">
        <f>PM!D35</f>
        <v>0</v>
      </c>
      <c r="F7" s="6">
        <f>PM!D48</f>
        <v>0</v>
      </c>
      <c r="G7" s="7">
        <f>PM!G45</f>
        <v>0</v>
      </c>
      <c r="H7" s="7">
        <f>PM!K45</f>
        <v>0</v>
      </c>
      <c r="I7" s="6" t="e">
        <f>((F7/8)*10^(0.1*(G7-F2)))</f>
        <v>#NUM!</v>
      </c>
      <c r="J7" s="6" t="e">
        <f>4.34*(I7/F7)</f>
        <v>#NUM!</v>
      </c>
      <c r="K7" s="7">
        <f xml:space="preserve"> (PM!G42+PM!G43+PM!G44)/3</f>
        <v>0</v>
      </c>
      <c r="L7" s="6">
        <f>SQRT((1/6)*((PM!G42-K7)^2+(PM!G43-K7)^2+(PM!G44-K7)^2))</f>
        <v>0</v>
      </c>
      <c r="M7" s="6">
        <f>SQRT((1/6)*(((PM!D42/60)-F7)^2+((PM!D43/60)-F7)^2+((PM!D44/60)-F7)^2))</f>
        <v>0</v>
      </c>
      <c r="N7" s="8">
        <v>0.7</v>
      </c>
      <c r="O7" s="8">
        <v>1</v>
      </c>
      <c r="Q7" s="10" t="e">
        <f t="shared" ref="Q7:Q14" si="0">(I7^2)*((L7^2)+(N7^2)+(O7^2))+((J7*M7)^2)</f>
        <v>#NUM!</v>
      </c>
      <c r="R7" s="10">
        <f t="shared" ref="R7:R34" si="1">IFERROR(Q7,0)</f>
        <v>0</v>
      </c>
    </row>
    <row r="8" spans="4:21">
      <c r="D8" s="4">
        <v>4</v>
      </c>
      <c r="E8" s="9">
        <f>PM!D51</f>
        <v>0</v>
      </c>
      <c r="F8" s="6">
        <f>PM!D64</f>
        <v>0</v>
      </c>
      <c r="G8" s="7">
        <f>PM!G61</f>
        <v>0</v>
      </c>
      <c r="H8" s="7">
        <f>PM!K61</f>
        <v>0</v>
      </c>
      <c r="I8" s="6" t="e">
        <f>((F8/8)*10^(0.1*(G8-F2)))</f>
        <v>#NUM!</v>
      </c>
      <c r="J8" s="6" t="e">
        <f t="shared" ref="J8:J34" si="2">4.34*(I8/F8)</f>
        <v>#NUM!</v>
      </c>
      <c r="K8" s="7">
        <f xml:space="preserve"> (PM!G58+PM!G59+PM!G60)/3</f>
        <v>0</v>
      </c>
      <c r="L8" s="6">
        <f>SQRT((1/6)*((PM!G58-K8)^2+(PM!G59-K8)^2+(PM!G60-K8)^2))</f>
        <v>0</v>
      </c>
      <c r="M8" s="6">
        <f>SQRT((1/6)*(((PM!D58/60)-F8)^2+((PM!D59/60)-F8)^2+((PM!D60/60)-F8)^2))</f>
        <v>0</v>
      </c>
      <c r="N8" s="8">
        <v>0.7</v>
      </c>
      <c r="O8" s="8">
        <v>1</v>
      </c>
      <c r="Q8" s="10" t="e">
        <f t="shared" si="0"/>
        <v>#NUM!</v>
      </c>
      <c r="R8" s="10">
        <f t="shared" si="1"/>
        <v>0</v>
      </c>
    </row>
    <row r="9" spans="4:21">
      <c r="D9" s="4">
        <v>5</v>
      </c>
      <c r="E9" s="9">
        <f>PM!D67</f>
        <v>0</v>
      </c>
      <c r="F9" s="6">
        <f>PM!D80</f>
        <v>0</v>
      </c>
      <c r="G9" s="7">
        <f>PM!G77</f>
        <v>0</v>
      </c>
      <c r="H9" s="7">
        <f>PM!K77</f>
        <v>0</v>
      </c>
      <c r="I9" s="6" t="e">
        <f>((F9/8)*10^(0.1*(G9-F2)))</f>
        <v>#NUM!</v>
      </c>
      <c r="J9" s="6" t="e">
        <f t="shared" si="2"/>
        <v>#NUM!</v>
      </c>
      <c r="K9" s="7">
        <f xml:space="preserve"> (PM!G74+PM!G75+PM!G76)/3</f>
        <v>0</v>
      </c>
      <c r="L9" s="6">
        <f>SQRT((1/6)*((PM!G74-K9)^2+(PM!G75-K9)^2+(PM!G76-K9)^2))</f>
        <v>0</v>
      </c>
      <c r="M9" s="6">
        <f>SQRT((1/6)*(((PM!D74/60)-F9)^2+((PM!D75/60)-F9)^2+((PM!D76/60)-F9)^2))</f>
        <v>0</v>
      </c>
      <c r="N9" s="8">
        <v>0.7</v>
      </c>
      <c r="O9" s="8">
        <v>1</v>
      </c>
      <c r="Q9" s="10" t="e">
        <f t="shared" si="0"/>
        <v>#NUM!</v>
      </c>
      <c r="R9" s="10">
        <f t="shared" si="1"/>
        <v>0</v>
      </c>
    </row>
    <row r="10" spans="4:21">
      <c r="D10" s="4">
        <v>6</v>
      </c>
      <c r="E10" s="9">
        <f>PM!D83</f>
        <v>0</v>
      </c>
      <c r="F10" s="6">
        <f>PM!D96</f>
        <v>0</v>
      </c>
      <c r="G10" s="7">
        <f>PM!G93</f>
        <v>0</v>
      </c>
      <c r="H10" s="7">
        <f>PM!K93</f>
        <v>0</v>
      </c>
      <c r="I10" s="6" t="e">
        <f>((F10/8)*10^(0.1*(G10-F2)))</f>
        <v>#NUM!</v>
      </c>
      <c r="J10" s="6" t="e">
        <f t="shared" si="2"/>
        <v>#NUM!</v>
      </c>
      <c r="K10" s="7">
        <f xml:space="preserve"> (PM!G90+PM!G91+PM!G92)/3</f>
        <v>0</v>
      </c>
      <c r="L10" s="6">
        <f>SQRT((1/6)*((PM!G90-K10)^2+(PM!G91-K10)^2+(PM!G92-K10)^2))</f>
        <v>0</v>
      </c>
      <c r="M10" s="6">
        <f>SQRT((1/6)*(((PM!D90/60)-F10)^2+((PM!D91/60)-F10)^2+((PM!D92/60)-F10)^2))</f>
        <v>0</v>
      </c>
      <c r="N10" s="8">
        <v>0.7</v>
      </c>
      <c r="O10" s="8">
        <v>1</v>
      </c>
      <c r="Q10" s="10" t="e">
        <f t="shared" si="0"/>
        <v>#NUM!</v>
      </c>
      <c r="R10" s="10">
        <f t="shared" si="1"/>
        <v>0</v>
      </c>
    </row>
    <row r="11" spans="4:21">
      <c r="D11" s="4">
        <v>7</v>
      </c>
      <c r="E11" s="9">
        <f>PM!D99</f>
        <v>0</v>
      </c>
      <c r="F11" s="6">
        <f>PM!D112</f>
        <v>0</v>
      </c>
      <c r="G11" s="7">
        <f>PM!G109</f>
        <v>0</v>
      </c>
      <c r="H11" s="7">
        <f>PM!K109</f>
        <v>0</v>
      </c>
      <c r="I11" s="6" t="e">
        <f>((F11/8)*10^(0.1*(G11-F2)))</f>
        <v>#NUM!</v>
      </c>
      <c r="J11" s="6" t="e">
        <f t="shared" si="2"/>
        <v>#NUM!</v>
      </c>
      <c r="K11" s="7">
        <f xml:space="preserve"> (PM!G106+PM!G107+PM!G108)/3</f>
        <v>0</v>
      </c>
      <c r="L11" s="6">
        <f>SQRT((1/6)*((PM!G106-K11)^2+(PM!G107-K11)^2+(PM!G108-K11)^2))</f>
        <v>0</v>
      </c>
      <c r="M11" s="6">
        <f>SQRT((1/6)*(((PM!D106/60)-F11)^2+((PM!D107/60)-F11)^2+((PM!D108/60)-F11)^2))</f>
        <v>0</v>
      </c>
      <c r="N11" s="8">
        <v>0.7</v>
      </c>
      <c r="O11" s="8">
        <v>1</v>
      </c>
      <c r="Q11" s="10" t="e">
        <f t="shared" si="0"/>
        <v>#NUM!</v>
      </c>
      <c r="R11" s="10">
        <f t="shared" si="1"/>
        <v>0</v>
      </c>
    </row>
    <row r="12" spans="4:21">
      <c r="D12" s="4">
        <v>8</v>
      </c>
      <c r="E12" s="9">
        <f>PM!D115</f>
        <v>0</v>
      </c>
      <c r="F12" s="6">
        <f>PM!D128</f>
        <v>0</v>
      </c>
      <c r="G12" s="7">
        <f>PM!G125</f>
        <v>0</v>
      </c>
      <c r="H12" s="7">
        <f>PM!K125</f>
        <v>0</v>
      </c>
      <c r="I12" s="6" t="e">
        <f>((F12/8)*10^(0.1*(G12-F2)))</f>
        <v>#NUM!</v>
      </c>
      <c r="J12" s="6" t="e">
        <f t="shared" si="2"/>
        <v>#NUM!</v>
      </c>
      <c r="K12" s="7">
        <f xml:space="preserve"> (PM!G122+PM!G123+PM!G124)/3</f>
        <v>0</v>
      </c>
      <c r="L12" s="6">
        <f>SQRT((1/6)*((PM!G122-K12)^2+(PM!G123-K12)^2+(PM!G124-K12)^2))</f>
        <v>0</v>
      </c>
      <c r="M12" s="6">
        <f>SQRT((1/6)*(((PM!D122/60)-F12)^2+((PM!D123/60)-F12)^2+((PM!D124/60)-F12)^2))</f>
        <v>0</v>
      </c>
      <c r="N12" s="8">
        <v>0.7</v>
      </c>
      <c r="O12" s="8">
        <v>1</v>
      </c>
      <c r="Q12" s="10" t="e">
        <f t="shared" si="0"/>
        <v>#NUM!</v>
      </c>
      <c r="R12" s="10">
        <f t="shared" si="1"/>
        <v>0</v>
      </c>
    </row>
    <row r="13" spans="4:21">
      <c r="D13" s="4">
        <v>9</v>
      </c>
      <c r="E13" s="9">
        <f>PM!D131</f>
        <v>0</v>
      </c>
      <c r="F13" s="6">
        <f>PM!D144</f>
        <v>0</v>
      </c>
      <c r="G13" s="7">
        <f>PM!G141</f>
        <v>0</v>
      </c>
      <c r="H13" s="7">
        <f>PM!K141</f>
        <v>0</v>
      </c>
      <c r="I13" s="6" t="e">
        <f>((F13/8)*10^(0.1*(G13-F2)))</f>
        <v>#NUM!</v>
      </c>
      <c r="J13" s="6" t="e">
        <f t="shared" si="2"/>
        <v>#NUM!</v>
      </c>
      <c r="K13" s="7">
        <f xml:space="preserve"> (PM!G138+PM!G139+PM!G140)/3</f>
        <v>0</v>
      </c>
      <c r="L13" s="6">
        <f>SQRT((1/6)*((PM!G138-K13)^2+(PM!G139-K13)^2+(PM!G140-K13)^2))</f>
        <v>0</v>
      </c>
      <c r="M13" s="6">
        <f>SQRT((1/6)*(((PM!D138/60)-F13)^2+((PM!D139/60)-F13)^2+((PM!D140/60)-F13)^2))</f>
        <v>0</v>
      </c>
      <c r="N13" s="8">
        <v>0.7</v>
      </c>
      <c r="O13" s="8">
        <v>1</v>
      </c>
      <c r="Q13" s="10" t="e">
        <f t="shared" si="0"/>
        <v>#NUM!</v>
      </c>
      <c r="R13" s="10">
        <f t="shared" si="1"/>
        <v>0</v>
      </c>
    </row>
    <row r="14" spans="4:21">
      <c r="D14" s="4">
        <v>10</v>
      </c>
      <c r="E14" s="9">
        <f>PM!D147</f>
        <v>0</v>
      </c>
      <c r="F14" s="6">
        <f>PM!D160</f>
        <v>0</v>
      </c>
      <c r="G14" s="7">
        <f>PM!G157</f>
        <v>0</v>
      </c>
      <c r="H14" s="7">
        <f>PM!K157</f>
        <v>0</v>
      </c>
      <c r="I14" s="6" t="e">
        <f>((F14/8)*10^(0.1*(G14-F2)))</f>
        <v>#NUM!</v>
      </c>
      <c r="J14" s="6" t="e">
        <f t="shared" si="2"/>
        <v>#NUM!</v>
      </c>
      <c r="K14" s="7">
        <f xml:space="preserve"> (PM!G154+PM!G155+PM!G156)/3</f>
        <v>0</v>
      </c>
      <c r="L14" s="6">
        <f>SQRT((1/6)*((PM!G154-K14)^2+(PM!G155-K14)^2+(PM!G156-K14)^2))</f>
        <v>0</v>
      </c>
      <c r="M14" s="6">
        <f>SQRT((1/6)*(((PM!D154/60)-F14)^2+((PM!D155/60)-F14)^2+((PM!D156/60)-F14)^2))</f>
        <v>0</v>
      </c>
      <c r="N14" s="8">
        <v>0.7</v>
      </c>
      <c r="O14" s="8">
        <v>1</v>
      </c>
      <c r="Q14" s="10" t="e">
        <f t="shared" si="0"/>
        <v>#NUM!</v>
      </c>
      <c r="R14" s="10">
        <f t="shared" si="1"/>
        <v>0</v>
      </c>
    </row>
    <row r="15" spans="4:21">
      <c r="D15" s="4">
        <v>11</v>
      </c>
      <c r="E15" s="87">
        <f>PM!D163</f>
        <v>0</v>
      </c>
      <c r="F15" s="6">
        <f>PM!D176</f>
        <v>0</v>
      </c>
      <c r="G15" s="7">
        <f>PM!G173</f>
        <v>0</v>
      </c>
      <c r="H15" s="7">
        <f>PM!K173</f>
        <v>0</v>
      </c>
      <c r="I15" s="6" t="e">
        <f>((F15/8)*10^(0.1*(G15-F2)))</f>
        <v>#NUM!</v>
      </c>
      <c r="J15" s="6" t="e">
        <f t="shared" si="2"/>
        <v>#NUM!</v>
      </c>
      <c r="K15" s="7">
        <f xml:space="preserve"> (PM!G170+PM!G171+PM!G172)/3</f>
        <v>0</v>
      </c>
      <c r="L15" s="6">
        <f>SQRT((1/6)*((PM!G170-K15)^2+(PM!G171-K15)^2+(PM!G172-K15)^2))</f>
        <v>0</v>
      </c>
      <c r="M15" s="6">
        <f>SQRT((1/6)*(((PM!D170/60)-F15)^2+((PM!D171/60)-F15)^2+((PM!D172/60)-F15)^2))</f>
        <v>0</v>
      </c>
      <c r="N15" s="8">
        <v>0.7</v>
      </c>
      <c r="O15" s="8">
        <v>1</v>
      </c>
      <c r="Q15" s="10" t="e">
        <f t="shared" ref="Q15:Q34" si="3">((I15^2)*((L15^2)+(N15^2)+(O15^2)+((J15*M15)^2)))</f>
        <v>#NUM!</v>
      </c>
      <c r="R15" s="10">
        <f t="shared" si="1"/>
        <v>0</v>
      </c>
    </row>
    <row r="16" spans="4:21">
      <c r="D16" s="4">
        <v>12</v>
      </c>
      <c r="E16" s="87">
        <f>PM!D179</f>
        <v>0</v>
      </c>
      <c r="F16" s="6">
        <f>PM!D192</f>
        <v>0</v>
      </c>
      <c r="G16" s="7">
        <f>PM!G189</f>
        <v>0</v>
      </c>
      <c r="H16" s="7">
        <f>PM!K189</f>
        <v>0</v>
      </c>
      <c r="I16" s="6" t="e">
        <f>((F16/8)*10^(0.1*(G16-F2)))</f>
        <v>#NUM!</v>
      </c>
      <c r="J16" s="6" t="e">
        <f t="shared" si="2"/>
        <v>#NUM!</v>
      </c>
      <c r="K16" s="7">
        <f xml:space="preserve"> (PM!G186+PM!G187+PM!G188)/3</f>
        <v>0</v>
      </c>
      <c r="L16" s="6">
        <f>SQRT((1/6)*((PM!G186-K16)^2+(PM!G187-K16)^2+(PM!G188-K16)^2))</f>
        <v>0</v>
      </c>
      <c r="M16" s="6">
        <f>SQRT((1/6)*(((PM!D186/60)-F16)^2+((PM!D187/60)-F16)^2+((PM!D188/60)-F16)^2))</f>
        <v>0</v>
      </c>
      <c r="N16" s="8">
        <v>0.7</v>
      </c>
      <c r="O16" s="8">
        <v>1</v>
      </c>
      <c r="Q16" s="10" t="e">
        <f t="shared" si="3"/>
        <v>#NUM!</v>
      </c>
      <c r="R16" s="10">
        <f t="shared" si="1"/>
        <v>0</v>
      </c>
    </row>
    <row r="17" spans="4:18">
      <c r="D17" s="4">
        <v>13</v>
      </c>
      <c r="E17" s="87">
        <f>PM!D195</f>
        <v>0</v>
      </c>
      <c r="F17" s="6">
        <f>PM!D208</f>
        <v>0</v>
      </c>
      <c r="G17" s="7">
        <f>PM!G205</f>
        <v>0</v>
      </c>
      <c r="H17" s="7">
        <f>PM!K205</f>
        <v>0</v>
      </c>
      <c r="I17" s="6" t="e">
        <f>((F17/8)*10^(0.1*(G17-F2)))</f>
        <v>#NUM!</v>
      </c>
      <c r="J17" s="6" t="e">
        <f t="shared" si="2"/>
        <v>#NUM!</v>
      </c>
      <c r="K17" s="7">
        <f xml:space="preserve"> (PM!G202+PM!G203+PM!G204)/3</f>
        <v>0</v>
      </c>
      <c r="L17" s="6">
        <f>SQRT((1/6)*((PM!G202-K17)^2+(PM!G203-K17)^2+(PM!G204-K17)^2))</f>
        <v>0</v>
      </c>
      <c r="M17" s="6">
        <f>SQRT((1/6)*(((PM!D202/60)-F17)^2+((PM!D203/60)-F17)^2+((PM!D204/60)-F17)^2))</f>
        <v>0</v>
      </c>
      <c r="N17" s="8">
        <v>0.7</v>
      </c>
      <c r="O17" s="8">
        <v>1</v>
      </c>
      <c r="Q17" s="10" t="e">
        <f t="shared" si="3"/>
        <v>#NUM!</v>
      </c>
      <c r="R17" s="10">
        <f t="shared" si="1"/>
        <v>0</v>
      </c>
    </row>
    <row r="18" spans="4:18">
      <c r="D18" s="4">
        <v>14</v>
      </c>
      <c r="E18" s="87">
        <f>PM!D211</f>
        <v>0</v>
      </c>
      <c r="F18" s="6">
        <f>PM!D224</f>
        <v>0</v>
      </c>
      <c r="G18" s="7">
        <f>PM!G221</f>
        <v>0</v>
      </c>
      <c r="H18" s="7">
        <f>PM!K221</f>
        <v>0</v>
      </c>
      <c r="I18" s="6" t="e">
        <f>((F18/8)*10^(0.1*(G18-F2)))</f>
        <v>#NUM!</v>
      </c>
      <c r="J18" s="6" t="e">
        <f t="shared" si="2"/>
        <v>#NUM!</v>
      </c>
      <c r="K18" s="7">
        <f xml:space="preserve"> (PM!G218+PM!G219+PM!G220)/3</f>
        <v>0</v>
      </c>
      <c r="L18" s="6">
        <f>SQRT((1/6)*((PM!G218-K18)^2+(PM!G219-K18)^2+(PM!G220-K18)^2))</f>
        <v>0</v>
      </c>
      <c r="M18" s="6">
        <f>SQRT((1/6)*(((PM!D218/60)-F18)^2+((PM!D219/60)-F18)^2+((PM!D220/60)-F18)^2))</f>
        <v>0</v>
      </c>
      <c r="N18" s="8">
        <v>0.7</v>
      </c>
      <c r="O18" s="8">
        <v>1</v>
      </c>
      <c r="Q18" s="10" t="e">
        <f t="shared" si="3"/>
        <v>#NUM!</v>
      </c>
      <c r="R18" s="10">
        <f t="shared" si="1"/>
        <v>0</v>
      </c>
    </row>
    <row r="19" spans="4:18">
      <c r="D19" s="4">
        <v>15</v>
      </c>
      <c r="E19" s="87">
        <f>PM!D227</f>
        <v>0</v>
      </c>
      <c r="F19" s="6">
        <f>PM!D240</f>
        <v>0</v>
      </c>
      <c r="G19" s="7">
        <f>PM!G237</f>
        <v>0</v>
      </c>
      <c r="H19" s="7">
        <f>PM!K237</f>
        <v>0</v>
      </c>
      <c r="I19" s="6" t="e">
        <f>((F19/8)*10^(0.1*(G19-F2)))</f>
        <v>#NUM!</v>
      </c>
      <c r="J19" s="6" t="e">
        <f t="shared" si="2"/>
        <v>#NUM!</v>
      </c>
      <c r="K19" s="7">
        <f xml:space="preserve"> (PM!G234+PM!G235+PM!G236)/3</f>
        <v>0</v>
      </c>
      <c r="L19" s="6">
        <f>SQRT((1/6)*((PM!G234-K19)^2+(PM!G235-K19)^2+(PM!G236-K19)^2))</f>
        <v>0</v>
      </c>
      <c r="M19" s="6">
        <f>SQRT((1/6)*(((PM!D234/60)-F19)^2+((PM!D235/60)-F19)^2+((PM!D236/60)-F19)^2))</f>
        <v>0</v>
      </c>
      <c r="N19" s="8">
        <v>0.7</v>
      </c>
      <c r="O19" s="8">
        <v>1</v>
      </c>
      <c r="Q19" s="10" t="e">
        <f t="shared" si="3"/>
        <v>#NUM!</v>
      </c>
      <c r="R19" s="10">
        <f t="shared" si="1"/>
        <v>0</v>
      </c>
    </row>
    <row r="20" spans="4:18">
      <c r="D20" s="4">
        <v>16</v>
      </c>
      <c r="E20" s="87">
        <f>PM!D243</f>
        <v>0</v>
      </c>
      <c r="F20" s="6">
        <f>PM!D256</f>
        <v>0</v>
      </c>
      <c r="G20" s="7">
        <f>PM!G253</f>
        <v>0</v>
      </c>
      <c r="H20" s="7">
        <f>PM!K253</f>
        <v>0</v>
      </c>
      <c r="I20" s="6" t="e">
        <f>((F20/8)*10^(0.1*(G20-F2)))</f>
        <v>#NUM!</v>
      </c>
      <c r="J20" s="6" t="e">
        <f t="shared" si="2"/>
        <v>#NUM!</v>
      </c>
      <c r="K20" s="7">
        <f xml:space="preserve"> (PM!G250+PM!G251+PM!G252)/3</f>
        <v>0</v>
      </c>
      <c r="L20" s="6">
        <f>SQRT((1/6)*((PM!G250-K20)^2+(PM!G251-K20)^2+(PM!G252-K20)^2))</f>
        <v>0</v>
      </c>
      <c r="M20" s="6">
        <f>SQRT((1/6)*(((PM!D250/60)-F20)^2+((PM!D251/60)-F20)^2+((PM!D252/60)-F20)^2))</f>
        <v>0</v>
      </c>
      <c r="N20" s="8">
        <v>0.7</v>
      </c>
      <c r="O20" s="8">
        <v>1</v>
      </c>
      <c r="Q20" s="10" t="e">
        <f t="shared" si="3"/>
        <v>#NUM!</v>
      </c>
      <c r="R20" s="10">
        <f t="shared" si="1"/>
        <v>0</v>
      </c>
    </row>
    <row r="21" spans="4:18">
      <c r="D21" s="4">
        <v>17</v>
      </c>
      <c r="E21" s="87">
        <f>PM!D259</f>
        <v>0</v>
      </c>
      <c r="F21" s="6">
        <f>PM!D272</f>
        <v>0</v>
      </c>
      <c r="G21" s="7">
        <f>PM!G269</f>
        <v>0</v>
      </c>
      <c r="H21" s="7">
        <f>PM!K269</f>
        <v>0</v>
      </c>
      <c r="I21" s="6" t="e">
        <f>((F21/8)*10^(0.1*(G21-F2)))</f>
        <v>#NUM!</v>
      </c>
      <c r="J21" s="6" t="e">
        <f t="shared" si="2"/>
        <v>#NUM!</v>
      </c>
      <c r="K21" s="7">
        <f xml:space="preserve"> (PM!G266+PM!G267+PM!G268)/3</f>
        <v>0</v>
      </c>
      <c r="L21" s="6">
        <f>SQRT((1/6)*((PM!G266-K21)^2+(PM!G267-K21)^2+(PM!G268-K21)^2))</f>
        <v>0</v>
      </c>
      <c r="M21" s="6">
        <f>SQRT((1/6)*(((PM!D266/60)-F21)^2+((PM!D267/60)-F21)^2+((PM!D268/60)-F21)^2))</f>
        <v>0</v>
      </c>
      <c r="N21" s="8">
        <v>0.7</v>
      </c>
      <c r="O21" s="8">
        <v>1</v>
      </c>
      <c r="Q21" s="10" t="e">
        <f t="shared" si="3"/>
        <v>#NUM!</v>
      </c>
      <c r="R21" s="10">
        <f t="shared" si="1"/>
        <v>0</v>
      </c>
    </row>
    <row r="22" spans="4:18">
      <c r="D22" s="4">
        <v>18</v>
      </c>
      <c r="E22" s="87">
        <f>PM!D275</f>
        <v>0</v>
      </c>
      <c r="F22" s="6">
        <f>PM!D288</f>
        <v>0</v>
      </c>
      <c r="G22" s="7">
        <f>PM!G285</f>
        <v>0</v>
      </c>
      <c r="H22" s="7">
        <f>PM!K285</f>
        <v>0</v>
      </c>
      <c r="I22" s="6" t="e">
        <f>((F22/8)*10^(0.1*(G22-F2)))</f>
        <v>#NUM!</v>
      </c>
      <c r="J22" s="6" t="e">
        <f t="shared" si="2"/>
        <v>#NUM!</v>
      </c>
      <c r="K22" s="7">
        <f xml:space="preserve"> (PM!G282+PM!G283+PM!G284)/3</f>
        <v>0</v>
      </c>
      <c r="L22" s="6">
        <f>SQRT((1/6)*((PM!G282-K22)^2+(PM!G283-K22)^2+(PM!G284-K22)^2))</f>
        <v>0</v>
      </c>
      <c r="M22" s="6">
        <f>SQRT((1/6)*(((PM!D282/60)-F22)^2+((PM!D283/60)-F22)^2+((PM!D284/60)-F22)^2))</f>
        <v>0</v>
      </c>
      <c r="N22" s="8">
        <v>0.7</v>
      </c>
      <c r="O22" s="8">
        <v>1</v>
      </c>
      <c r="Q22" s="10" t="e">
        <f t="shared" si="3"/>
        <v>#NUM!</v>
      </c>
      <c r="R22" s="10">
        <f t="shared" si="1"/>
        <v>0</v>
      </c>
    </row>
    <row r="23" spans="4:18">
      <c r="D23" s="4">
        <v>19</v>
      </c>
      <c r="E23" s="87">
        <f>PM!D291</f>
        <v>0</v>
      </c>
      <c r="F23" s="6">
        <f>PM!D304</f>
        <v>0</v>
      </c>
      <c r="G23" s="7">
        <f>PM!G301</f>
        <v>0</v>
      </c>
      <c r="H23" s="7">
        <f>PM!K301</f>
        <v>0</v>
      </c>
      <c r="I23" s="6" t="e">
        <f>((F23/8)*10^(0.1*(G23-F2)))</f>
        <v>#NUM!</v>
      </c>
      <c r="J23" s="6" t="e">
        <f t="shared" si="2"/>
        <v>#NUM!</v>
      </c>
      <c r="K23" s="7">
        <f xml:space="preserve"> (PM!G298+PM!G299+PM!G300)/3</f>
        <v>0</v>
      </c>
      <c r="L23" s="6">
        <f>SQRT((1/6)*((PM!G298-K23)^2+(PM!G299-K23)^2+(PM!G300-K23)^2))</f>
        <v>0</v>
      </c>
      <c r="M23" s="6">
        <f>SQRT((1/6)*(((PM!D298/60)-F23)^2+((PM!D299/60)-F23)^2+((PM!D300/60)-F23)^2))</f>
        <v>0</v>
      </c>
      <c r="N23" s="8">
        <v>0.7</v>
      </c>
      <c r="O23" s="8">
        <v>1</v>
      </c>
      <c r="Q23" s="10" t="e">
        <f t="shared" si="3"/>
        <v>#NUM!</v>
      </c>
      <c r="R23" s="10">
        <f t="shared" si="1"/>
        <v>0</v>
      </c>
    </row>
    <row r="24" spans="4:18">
      <c r="D24" s="4">
        <v>20</v>
      </c>
      <c r="E24" s="87">
        <f>PM!D307</f>
        <v>0</v>
      </c>
      <c r="F24" s="6">
        <f>PM!D320</f>
        <v>0</v>
      </c>
      <c r="G24" s="7">
        <f>PM!G317</f>
        <v>0</v>
      </c>
      <c r="H24" s="7">
        <f>PM!K317</f>
        <v>0</v>
      </c>
      <c r="I24" s="6" t="e">
        <f>((F24/8)*10^(0.1*(G24-F2)))</f>
        <v>#NUM!</v>
      </c>
      <c r="J24" s="6" t="e">
        <f t="shared" si="2"/>
        <v>#NUM!</v>
      </c>
      <c r="K24" s="7">
        <f xml:space="preserve"> (PM!G314+PM!G315+PM!G316)/3</f>
        <v>0</v>
      </c>
      <c r="L24" s="6">
        <f>SQRT((1/6)*((PM!G314-K24)^2+(PM!G315-K24)^2+(PM!G316-K24)^2))</f>
        <v>0</v>
      </c>
      <c r="M24" s="6">
        <f>SQRT((1/6)*(((PM!D314/60)-F24)^2+((PM!D315/60)-F24)^2+((PM!D316/60)-F24)^2))</f>
        <v>0</v>
      </c>
      <c r="N24" s="8">
        <v>0.7</v>
      </c>
      <c r="O24" s="8">
        <v>1</v>
      </c>
      <c r="Q24" s="10" t="e">
        <f t="shared" si="3"/>
        <v>#NUM!</v>
      </c>
      <c r="R24" s="10">
        <f t="shared" si="1"/>
        <v>0</v>
      </c>
    </row>
    <row r="25" spans="4:18">
      <c r="D25" s="4">
        <v>21</v>
      </c>
      <c r="E25" s="87">
        <f>PM!D323</f>
        <v>0</v>
      </c>
      <c r="F25" s="6">
        <f>PM!D336</f>
        <v>0</v>
      </c>
      <c r="G25" s="7">
        <f>PM!G333</f>
        <v>0</v>
      </c>
      <c r="H25" s="7">
        <f>PM!K333</f>
        <v>0</v>
      </c>
      <c r="I25" s="6" t="e">
        <f>((F25/8)*10^(0.1*(G25-F2)))</f>
        <v>#NUM!</v>
      </c>
      <c r="J25" s="6" t="e">
        <f t="shared" si="2"/>
        <v>#NUM!</v>
      </c>
      <c r="K25" s="7">
        <f xml:space="preserve"> (PM!G330+PM!G331+PM!G332)/3</f>
        <v>0</v>
      </c>
      <c r="L25" s="6">
        <f>SQRT((1/6)*((PM!G330-K25)^2+(PM!G331-K25)^2+(PM!G332-K25)^2))</f>
        <v>0</v>
      </c>
      <c r="M25" s="6">
        <f>SQRT((1/6)*(((PM!D330/60)-F25)^2+((PM!D331/60)-F25)^2+((PM!D332/60)-F25)^2))</f>
        <v>0</v>
      </c>
      <c r="N25" s="8">
        <v>0.7</v>
      </c>
      <c r="O25" s="8">
        <v>1</v>
      </c>
      <c r="Q25" s="10" t="e">
        <f t="shared" si="3"/>
        <v>#NUM!</v>
      </c>
      <c r="R25" s="10">
        <f t="shared" si="1"/>
        <v>0</v>
      </c>
    </row>
    <row r="26" spans="4:18">
      <c r="D26" s="4">
        <v>22</v>
      </c>
      <c r="E26" s="87">
        <f>PM!D339</f>
        <v>0</v>
      </c>
      <c r="F26" s="6">
        <f>PM!D352</f>
        <v>0</v>
      </c>
      <c r="G26" s="7">
        <f>PM!G349</f>
        <v>0</v>
      </c>
      <c r="H26" s="7">
        <f>PM!K349</f>
        <v>0</v>
      </c>
      <c r="I26" s="6" t="e">
        <f>((F26/8)*10^(0.1*(G26-F2)))</f>
        <v>#NUM!</v>
      </c>
      <c r="J26" s="6" t="e">
        <f t="shared" si="2"/>
        <v>#NUM!</v>
      </c>
      <c r="K26" s="7">
        <f xml:space="preserve"> (PM!G346+PM!G347+PM!G348)/3</f>
        <v>0</v>
      </c>
      <c r="L26" s="6">
        <f>SQRT((1/6)*((PM!G346-K26)^2+(PM!G347-K26)^2+(PM!G348-K26)^2))</f>
        <v>0</v>
      </c>
      <c r="M26" s="6">
        <f>SQRT((1/6)*(((PM!D346/60)-F26)^2+((PM!D347/60)-F26)^2+((PM!D348/60)-F26)^2))</f>
        <v>0</v>
      </c>
      <c r="N26" s="8">
        <v>0.7</v>
      </c>
      <c r="O26" s="8">
        <v>1</v>
      </c>
      <c r="Q26" s="10" t="e">
        <f t="shared" si="3"/>
        <v>#NUM!</v>
      </c>
      <c r="R26" s="10">
        <f t="shared" si="1"/>
        <v>0</v>
      </c>
    </row>
    <row r="27" spans="4:18">
      <c r="D27" s="4">
        <v>23</v>
      </c>
      <c r="E27" s="87">
        <f>PM!D355</f>
        <v>0</v>
      </c>
      <c r="F27" s="6">
        <f>PM!D368</f>
        <v>0</v>
      </c>
      <c r="G27" s="7">
        <f>PM!D368</f>
        <v>0</v>
      </c>
      <c r="H27" s="7">
        <f>PM!K365</f>
        <v>0</v>
      </c>
      <c r="I27" s="6" t="e">
        <f>((F27/8)*10^(0.1*(G27-F2)))</f>
        <v>#NUM!</v>
      </c>
      <c r="J27" s="6" t="e">
        <f t="shared" si="2"/>
        <v>#NUM!</v>
      </c>
      <c r="K27" s="7">
        <f xml:space="preserve"> (PM!G362+PM!G363+PM!G364)/3</f>
        <v>0</v>
      </c>
      <c r="L27" s="6">
        <f>SQRT((1/6)*((PM!G362-K27)^2+(PM!G363-K27)^2+(PM!G364-K27)^2))</f>
        <v>0</v>
      </c>
      <c r="M27" s="6">
        <f>SQRT((1/6)*(((PM!D362/60)-F27)^2+((PM!D363/60)-F27)^2+((PM!D364/60)-F27)^2))</f>
        <v>0</v>
      </c>
      <c r="N27" s="8">
        <v>0.7</v>
      </c>
      <c r="O27" s="8">
        <v>1</v>
      </c>
      <c r="Q27" s="10" t="e">
        <f t="shared" si="3"/>
        <v>#NUM!</v>
      </c>
      <c r="R27" s="10">
        <f t="shared" si="1"/>
        <v>0</v>
      </c>
    </row>
    <row r="28" spans="4:18">
      <c r="D28" s="4">
        <v>24</v>
      </c>
      <c r="E28" s="87">
        <f>PM!D371</f>
        <v>0</v>
      </c>
      <c r="F28" s="6">
        <f>PM!D384</f>
        <v>0</v>
      </c>
      <c r="G28" s="7">
        <f>PM!D384</f>
        <v>0</v>
      </c>
      <c r="H28" s="7">
        <f>PM!K381</f>
        <v>0</v>
      </c>
      <c r="I28" s="6" t="e">
        <f>((F28/8)*10^(0.1*(G28-F2)))</f>
        <v>#NUM!</v>
      </c>
      <c r="J28" s="6" t="e">
        <f t="shared" si="2"/>
        <v>#NUM!</v>
      </c>
      <c r="K28" s="7">
        <f xml:space="preserve"> (PM!G378+PM!G379+PM!G380)/3</f>
        <v>0</v>
      </c>
      <c r="L28" s="6">
        <f>SQRT((1/6)*((PM!G378-K28)^2+(PM!G379-K28)^2+(PM!G380-K28)^2))</f>
        <v>0</v>
      </c>
      <c r="M28" s="6">
        <f>SQRT((1/6)*(((PM!D378/60)-F28)^2+((PM!D379/60)-F28)^2+((PM!D380/60)-F28)^2))</f>
        <v>0</v>
      </c>
      <c r="N28" s="8">
        <v>0.7</v>
      </c>
      <c r="O28" s="8">
        <v>1</v>
      </c>
      <c r="Q28" s="10" t="e">
        <f t="shared" si="3"/>
        <v>#NUM!</v>
      </c>
      <c r="R28" s="10">
        <f t="shared" si="1"/>
        <v>0</v>
      </c>
    </row>
    <row r="29" spans="4:18">
      <c r="D29" s="4">
        <v>25</v>
      </c>
      <c r="E29" s="87">
        <f>PM!D387</f>
        <v>0</v>
      </c>
      <c r="F29" s="6">
        <f>PM!D400</f>
        <v>0</v>
      </c>
      <c r="G29" s="7">
        <f>PM!D400</f>
        <v>0</v>
      </c>
      <c r="H29" s="7">
        <f>PM!K397</f>
        <v>0</v>
      </c>
      <c r="I29" s="6" t="e">
        <f>((F29/8)*10^(0.1*(G29-F2)))</f>
        <v>#NUM!</v>
      </c>
      <c r="J29" s="6" t="e">
        <f t="shared" si="2"/>
        <v>#NUM!</v>
      </c>
      <c r="K29" s="7">
        <f xml:space="preserve"> (PM!G394+PM!G395+PM!G396)/3</f>
        <v>0</v>
      </c>
      <c r="L29" s="6">
        <f>SQRT((1/6)*((PM!G394-K29)^2+(PM!G395-K29)^2+(PM!G396-K29)^2))</f>
        <v>0</v>
      </c>
      <c r="M29" s="6">
        <f>SQRT((1/6)*(((PM!D394/60)-F29)^2+((PM!D395/60)-F29)^2+((PM!D396/60)-F29)^2))</f>
        <v>0</v>
      </c>
      <c r="N29" s="8">
        <v>0.7</v>
      </c>
      <c r="O29" s="8">
        <v>1</v>
      </c>
      <c r="Q29" s="10" t="e">
        <f t="shared" si="3"/>
        <v>#NUM!</v>
      </c>
      <c r="R29" s="10">
        <f t="shared" si="1"/>
        <v>0</v>
      </c>
    </row>
    <row r="30" spans="4:18">
      <c r="D30" s="4">
        <v>26</v>
      </c>
      <c r="E30" s="87">
        <f>PM!D403</f>
        <v>0</v>
      </c>
      <c r="F30" s="6">
        <f>PM!D416</f>
        <v>0</v>
      </c>
      <c r="G30" s="7">
        <f>PM!D416</f>
        <v>0</v>
      </c>
      <c r="H30" s="7">
        <f>PM!K413</f>
        <v>0</v>
      </c>
      <c r="I30" s="6" t="e">
        <f>((F30/8)*10^(0.1*(G30-F2)))</f>
        <v>#NUM!</v>
      </c>
      <c r="J30" s="6" t="e">
        <f t="shared" si="2"/>
        <v>#NUM!</v>
      </c>
      <c r="K30" s="7">
        <f xml:space="preserve"> (PM!G410+PM!G411+PM!G412)/3</f>
        <v>0</v>
      </c>
      <c r="L30" s="6">
        <f>SQRT((1/6)*((PM!G410-K30)^2+(PM!G411-K30)^2+(PM!G412-K30)^2))</f>
        <v>0</v>
      </c>
      <c r="M30" s="6">
        <f>SQRT((1/6)*(((PM!D410/60)-F30)^2+((PM!D411/60)-F30)^2+((PM!D412/60)-F30)^2))</f>
        <v>0</v>
      </c>
      <c r="N30" s="8">
        <v>0.7</v>
      </c>
      <c r="O30" s="8">
        <v>1</v>
      </c>
      <c r="Q30" s="10" t="e">
        <f t="shared" si="3"/>
        <v>#NUM!</v>
      </c>
      <c r="R30" s="10">
        <f t="shared" si="1"/>
        <v>0</v>
      </c>
    </row>
    <row r="31" spans="4:18">
      <c r="D31" s="4">
        <v>27</v>
      </c>
      <c r="E31" s="87">
        <f>PM!D419</f>
        <v>0</v>
      </c>
      <c r="F31" s="6">
        <f>PM!D432</f>
        <v>0</v>
      </c>
      <c r="G31" s="7">
        <f>PM!D432</f>
        <v>0</v>
      </c>
      <c r="H31" s="7">
        <f>PM!K429</f>
        <v>0</v>
      </c>
      <c r="I31" s="6" t="e">
        <f>((F31/8)*10^(0.1*(G31-F2)))</f>
        <v>#NUM!</v>
      </c>
      <c r="J31" s="6" t="e">
        <f t="shared" si="2"/>
        <v>#NUM!</v>
      </c>
      <c r="K31" s="7">
        <f xml:space="preserve"> (PM!G426+PM!G427+PM!G428)/3</f>
        <v>0</v>
      </c>
      <c r="L31" s="6">
        <f>SQRT((1/6)*((PM!G426-K31)^2+(PM!G427-K31)^2+(PM!G428-K31)^2))</f>
        <v>0</v>
      </c>
      <c r="M31" s="6">
        <f>SQRT((1/6)*(((PM!D426/60)-F31)^2+((PM!D427/60)-F31)^2+((PM!D428/60)-F31)^2))</f>
        <v>0</v>
      </c>
      <c r="N31" s="8">
        <v>0.7</v>
      </c>
      <c r="O31" s="8">
        <v>1</v>
      </c>
      <c r="Q31" s="10" t="e">
        <f t="shared" si="3"/>
        <v>#NUM!</v>
      </c>
      <c r="R31" s="10">
        <f t="shared" si="1"/>
        <v>0</v>
      </c>
    </row>
    <row r="32" spans="4:18">
      <c r="D32" s="4">
        <v>28</v>
      </c>
      <c r="E32" s="87">
        <f>PM!D435</f>
        <v>0</v>
      </c>
      <c r="F32" s="6">
        <f>PM!D448</f>
        <v>0</v>
      </c>
      <c r="G32" s="7">
        <f>PM!D448</f>
        <v>0</v>
      </c>
      <c r="H32" s="7">
        <f>PM!K445</f>
        <v>0</v>
      </c>
      <c r="I32" s="6" t="e">
        <f>((F32/8)*10^(0.1*(G32-F2)))</f>
        <v>#NUM!</v>
      </c>
      <c r="J32" s="6" t="e">
        <f t="shared" si="2"/>
        <v>#NUM!</v>
      </c>
      <c r="K32" s="7">
        <f xml:space="preserve"> (PM!G442+PM!G443+PM!G444)/3</f>
        <v>0</v>
      </c>
      <c r="L32" s="6">
        <f>SQRT((1/6)*((PM!G442-K32)^2+(PM!G443-K32)^2+(PM!G444-K32)^2))</f>
        <v>0</v>
      </c>
      <c r="M32" s="6">
        <f>SQRT((1/6)*(((PM!D442/60)-F32)^2+((PM!D443/60)-F32)^2+((PM!D444/60)-F32)^2))</f>
        <v>0</v>
      </c>
      <c r="N32" s="8">
        <v>0.7</v>
      </c>
      <c r="O32" s="8">
        <v>1</v>
      </c>
      <c r="Q32" s="10" t="e">
        <f t="shared" si="3"/>
        <v>#NUM!</v>
      </c>
      <c r="R32" s="10">
        <f t="shared" si="1"/>
        <v>0</v>
      </c>
    </row>
    <row r="33" spans="4:18">
      <c r="D33" s="4">
        <v>29</v>
      </c>
      <c r="E33" s="87">
        <f>PM!D451</f>
        <v>0</v>
      </c>
      <c r="F33" s="6">
        <f>PM!D464</f>
        <v>0</v>
      </c>
      <c r="G33" s="7">
        <f>PM!D464</f>
        <v>0</v>
      </c>
      <c r="H33" s="7">
        <f>PM!K461</f>
        <v>0</v>
      </c>
      <c r="I33" s="6" t="e">
        <f>((F33/8)*10^(0.1*(G33-F2)))</f>
        <v>#NUM!</v>
      </c>
      <c r="J33" s="6" t="e">
        <f t="shared" si="2"/>
        <v>#NUM!</v>
      </c>
      <c r="K33" s="7">
        <f xml:space="preserve"> (PM!G458+PM!G459+PM!G460)/3</f>
        <v>0</v>
      </c>
      <c r="L33" s="6">
        <f>SQRT((1/6)*((PM!G458-K33)^2+(PM!G459-K33)^2+(PM!G460-K33)^2))</f>
        <v>0</v>
      </c>
      <c r="M33" s="6">
        <f>SQRT((1/6)*(((PM!D458/60)-F33)^2+((PM!D459/60)-F33)^2+((PM!D460/60)-F33)^2))</f>
        <v>0</v>
      </c>
      <c r="N33" s="8">
        <v>0.7</v>
      </c>
      <c r="O33" s="8">
        <v>1</v>
      </c>
      <c r="Q33" s="10" t="e">
        <f t="shared" si="3"/>
        <v>#NUM!</v>
      </c>
      <c r="R33" s="10">
        <f t="shared" si="1"/>
        <v>0</v>
      </c>
    </row>
    <row r="34" spans="4:18">
      <c r="D34" s="4">
        <v>30</v>
      </c>
      <c r="E34" s="87">
        <f>PM!D467</f>
        <v>0</v>
      </c>
      <c r="F34" s="6">
        <f>PM!D480</f>
        <v>0</v>
      </c>
      <c r="G34" s="7">
        <f>PM!D480</f>
        <v>0</v>
      </c>
      <c r="H34" s="7">
        <f>PM!K477</f>
        <v>0</v>
      </c>
      <c r="I34" s="6" t="e">
        <f>((F34/8)*10^(0.1*(G34-F2)))</f>
        <v>#NUM!</v>
      </c>
      <c r="J34" s="6" t="e">
        <f t="shared" si="2"/>
        <v>#NUM!</v>
      </c>
      <c r="K34" s="7">
        <f xml:space="preserve"> (PM!G474+PM!G475+PM!G476)/3</f>
        <v>0</v>
      </c>
      <c r="L34" s="6">
        <f>SQRT((1/6)*((PM!G474-K34)^2+(PM!G475-K34)^2+(PM!G476-K34)^2))</f>
        <v>0</v>
      </c>
      <c r="M34" s="6">
        <f>SQRT((1/6)*(((PM!D474/60)-F34)^2+((PM!D475/60)-F34)^2+((PM!D476/60)-F34)^2))</f>
        <v>0</v>
      </c>
      <c r="N34" s="8">
        <v>0.7</v>
      </c>
      <c r="O34" s="8">
        <v>1</v>
      </c>
      <c r="Q34" s="10" t="e">
        <f t="shared" si="3"/>
        <v>#NUM!</v>
      </c>
      <c r="R34" s="10">
        <f t="shared" si="1"/>
        <v>0</v>
      </c>
    </row>
    <row r="35" spans="4:18" ht="17.649999999999999">
      <c r="R35" s="23" t="s">
        <v>77</v>
      </c>
    </row>
    <row r="36" spans="4:18">
      <c r="R36" s="14">
        <f>SUM(R5:R34)</f>
        <v>0</v>
      </c>
    </row>
    <row r="38" spans="4:18">
      <c r="R38" s="23" t="s">
        <v>78</v>
      </c>
    </row>
    <row r="39" spans="4:18">
      <c r="R39" s="24">
        <f>SQRT(R36)</f>
        <v>0</v>
      </c>
    </row>
    <row r="41" spans="4:18">
      <c r="R41" s="23" t="s">
        <v>79</v>
      </c>
    </row>
    <row r="42" spans="4:18">
      <c r="R42" s="15">
        <f>1.65*R39</f>
        <v>0</v>
      </c>
    </row>
  </sheetData>
  <sheetProtection algorithmName="SHA-512" hashValue="ItWj92va6RuFIJkHHYTaVH5h07NHphn0VAcUHu0ntZf2ysiFeR9df52ZQy/YVJFEJeYTOVt+0sinGFClFOwz8A==" saltValue="NhWr7pns8s6iIBF4pWqMdg==" spinCount="100000" sheet="1" objects="1" scenarios="1"/>
  <mergeCells count="1">
    <mergeCell ref="F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2D32-A012-45F2-AA74-68BAE4EBEADF}">
  <dimension ref="B2:T5"/>
  <sheetViews>
    <sheetView zoomScale="70" zoomScaleNormal="70" workbookViewId="0">
      <selection activeCell="C4" sqref="C4"/>
    </sheetView>
  </sheetViews>
  <sheetFormatPr defaultRowHeight="15.4"/>
  <cols>
    <col min="1" max="1" width="5.25" style="3" customWidth="1"/>
    <col min="2" max="2" width="34.625" style="3" customWidth="1"/>
    <col min="3" max="3" width="12" style="3" customWidth="1"/>
    <col min="4" max="4" width="11.625" style="3" customWidth="1"/>
    <col min="5" max="5" width="11.75" style="3" customWidth="1"/>
    <col min="6" max="6" width="13" style="3" customWidth="1"/>
    <col min="7" max="16384" width="9" style="3"/>
  </cols>
  <sheetData>
    <row r="2" spans="2:20" ht="15.75" thickBot="1"/>
    <row r="3" spans="2:20" ht="30.4" thickTop="1">
      <c r="B3" s="18" t="s">
        <v>15</v>
      </c>
      <c r="C3" s="19" t="s">
        <v>66</v>
      </c>
      <c r="D3" s="19" t="s">
        <v>79</v>
      </c>
      <c r="E3" s="19" t="s">
        <v>80</v>
      </c>
      <c r="F3" s="20" t="s">
        <v>81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.75" thickBot="1">
      <c r="B4" s="12">
        <f>PM!B10</f>
        <v>0</v>
      </c>
      <c r="C4" s="13" t="e">
        <f>'Calcolo incertezza U(LEX,8h)'!F2</f>
        <v>#NUM!</v>
      </c>
      <c r="D4" s="13">
        <f>'Calcolo incertezza U(LEX,8h)'!R42</f>
        <v>0</v>
      </c>
      <c r="E4" s="13" t="e">
        <f>C4+D4</f>
        <v>#NUM!</v>
      </c>
      <c r="F4" s="11">
        <f>MAX(PM!K13,PM!K29,PM!K45,PM!K61,PM!K77,PM!K93,PM!K109,PM!K125,PM!K141,PM!K157,PM!K173,PM!K189,PM!K205,PM!K221,PM!K237,PM!K253,PM!K269,PM!K285,PM!K301,PM!K317,PM!K333,PM!K349,PM!K365,PM!K381,PM!K397,PM!K413,PM!K429,PM!K445,PM!K461,PM!K477,)</f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</row>
    <row r="5" spans="2:20" ht="15.75" thickTop="1"/>
  </sheetData>
  <sheetProtection algorithmName="SHA-512" hashValue="hoULXoRPdhZQg5tTyxrO5RJv5CZ0CGumDk2FY0C3pt5sdqSSfmS/achu6SY0XAEVkUzJH7x5YFmCKUSyZsMpPQ==" saltValue="U6yiQZZX7/hPT0f7uCuT/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2D23-29A4-4B39-AB3F-145880251588}">
  <dimension ref="B2:P34"/>
  <sheetViews>
    <sheetView zoomScale="55" zoomScaleNormal="55" workbookViewId="0">
      <selection activeCell="H5" sqref="H5"/>
    </sheetView>
  </sheetViews>
  <sheetFormatPr defaultRowHeight="15.4"/>
  <cols>
    <col min="1" max="1" width="5.25" style="3" customWidth="1"/>
    <col min="2" max="2" width="11.25" style="3" customWidth="1"/>
    <col min="3" max="3" width="45.5" style="3" customWidth="1"/>
    <col min="4" max="6" width="9" style="3" customWidth="1"/>
    <col min="7" max="7" width="8.875" style="3" customWidth="1"/>
    <col min="8" max="8" width="19.75" style="3" customWidth="1"/>
    <col min="9" max="9" width="9" style="3"/>
    <col min="10" max="10" width="11.75" style="3" customWidth="1"/>
    <col min="11" max="11" width="11.875" style="3" customWidth="1"/>
    <col min="12" max="12" width="15.75" style="3" customWidth="1"/>
    <col min="13" max="16384" width="9" style="3"/>
  </cols>
  <sheetData>
    <row r="2" spans="2:16">
      <c r="B2" s="81" t="s">
        <v>67</v>
      </c>
      <c r="C2" s="81"/>
      <c r="D2" s="154">
        <f>PM!B10</f>
        <v>0</v>
      </c>
      <c r="E2" s="155"/>
      <c r="F2" s="155"/>
      <c r="G2" s="155"/>
      <c r="H2" s="155"/>
      <c r="I2" s="155"/>
      <c r="J2" s="155"/>
      <c r="K2" s="155"/>
      <c r="L2" s="156"/>
    </row>
    <row r="3" spans="2:16" ht="26.25" customHeight="1">
      <c r="B3" s="153" t="s">
        <v>82</v>
      </c>
      <c r="C3" s="153"/>
      <c r="D3" s="153"/>
      <c r="E3" s="153"/>
      <c r="F3" s="153"/>
      <c r="G3" s="153"/>
      <c r="H3" s="8" t="s">
        <v>83</v>
      </c>
      <c r="I3" s="30"/>
      <c r="J3" s="153" t="s">
        <v>84</v>
      </c>
      <c r="K3" s="153"/>
      <c r="L3" s="153"/>
    </row>
    <row r="4" spans="2:16" ht="30.4">
      <c r="B4" s="29" t="s">
        <v>85</v>
      </c>
      <c r="C4" s="16" t="s">
        <v>4</v>
      </c>
      <c r="D4" s="17" t="s">
        <v>68</v>
      </c>
      <c r="E4" s="17" t="s">
        <v>86</v>
      </c>
      <c r="F4" s="16" t="s">
        <v>87</v>
      </c>
      <c r="G4" s="17" t="s">
        <v>88</v>
      </c>
      <c r="H4" s="17" t="s">
        <v>89</v>
      </c>
      <c r="I4" s="29" t="s">
        <v>36</v>
      </c>
      <c r="J4" s="16" t="s">
        <v>90</v>
      </c>
      <c r="K4" s="16" t="s">
        <v>79</v>
      </c>
      <c r="L4" s="16" t="s">
        <v>91</v>
      </c>
    </row>
    <row r="5" spans="2:16">
      <c r="B5" s="8">
        <v>1</v>
      </c>
      <c r="C5" s="82">
        <f>'Calcolo incertezza U(LEX,8h)'!E5</f>
        <v>0</v>
      </c>
      <c r="D5" s="7">
        <f>PM!G13</f>
        <v>0</v>
      </c>
      <c r="E5" s="7" t="str">
        <f>IF(PM!G13&gt;80,PM!I13,"")</f>
        <v/>
      </c>
      <c r="F5" s="14">
        <v>0.75</v>
      </c>
      <c r="G5" s="15">
        <f t="shared" ref="G5:G34" si="0">IF(D5&gt;80,(E5-I$3*F5),P5)</f>
        <v>0</v>
      </c>
      <c r="H5" s="81" t="str">
        <f>IF(E5="","",IF(G5&gt;80,"Insufficiente",IF(OR(G5&gt;75,G5=80),"Accettabile",IF(OR(G5=75,G5&gt;70),"Buona",IF(OR(G5=70,G5&gt;65),"Accettabile",IF(OR(G5=65,G5&gt;0),"Iperprotezione",IF(OR(G5=0,G5&lt;0),"")))))))</f>
        <v/>
      </c>
      <c r="I5" s="6">
        <f>PM!D16</f>
        <v>0</v>
      </c>
      <c r="J5" s="7" t="e">
        <f>10*(LOG10((I5/8)*10^(0.1*G5)+(I6/8)*10^(0.1*G6)+(I7/8)*10^(0.1*G7)+(I8/8)*10^(0.1*G8)+(I9/8)*10^(0.1*G9)+(I10/8)*10^(0.1*G10)+(I11/8)*10^(0.1*G11)+(I12/8)*10^(0.1*G12)+(I13/8)*10^(0.1*G13)+(I14/8)*10^(0.1*G14)+(I15/8)*10^(0.1*G15)+(I16/8)*10^(0.1*G16)+(I17/8)*10^(0.1*G17)+(I18/8)*10^(0.1*G18)+(I19/8)*10^(0.1*G19)+(I20/8)*10^(0.1*G20)+(I21/8)*10^(0.1*G21)+(I22/8)*10^(0.1*G22)+(I23/8)*10^(0.1*G23)+(I24/8)*10^(0.1*G24)+(I25/8)*10^(0.1*G25)+(I26/8)*10^(0.1*G26)+(I27/8)*10^(0.1*G27)+(I28/8)*10^(0.1*G28)+(I29/8)*10^(0.1*G29)+(I30/8)*10^(0.1*G30)+(I31/8)*10^(0.1*G31)+(I32/8)*10^(0.1*G32)+(I33/8)*10^(0.1*G33)+(I34/8)*10^(0.1*G34)))</f>
        <v>#NUM!</v>
      </c>
      <c r="K5" s="7">
        <f>'Tab. riassuntiva LEX,8h'!D4</f>
        <v>0</v>
      </c>
      <c r="L5" s="7" t="e">
        <f>J5+K5</f>
        <v>#NUM!</v>
      </c>
      <c r="P5" s="83">
        <f>D5</f>
        <v>0</v>
      </c>
    </row>
    <row r="6" spans="2:16">
      <c r="B6" s="8">
        <v>2</v>
      </c>
      <c r="C6" s="82">
        <f>'Calcolo incertezza U(LEX,8h)'!E6</f>
        <v>0</v>
      </c>
      <c r="D6" s="7">
        <f>PM!G29</f>
        <v>0</v>
      </c>
      <c r="E6" s="7" t="str">
        <f>IF(PM!G29&gt;80,PM!I29,"")</f>
        <v/>
      </c>
      <c r="F6" s="14">
        <v>0.75</v>
      </c>
      <c r="G6" s="15">
        <f t="shared" si="0"/>
        <v>0</v>
      </c>
      <c r="H6" s="81" t="str">
        <f>IF(E6="","",IF(G6&gt;80,"Insufficiente",IF(OR(G6&gt;75,G6=80),"Accettabile",IF(OR(G6=75,G6&gt;70),"Buona",IF(OR(G6=70,G6&gt;65),"Accettabile",IF(OR(G6=65,G6&gt;0),"Iperprotezione",IF(OR(G6=0,G6&lt;0),"")))))))</f>
        <v/>
      </c>
      <c r="I6" s="6">
        <f>PM!D32</f>
        <v>0</v>
      </c>
      <c r="P6" s="83">
        <f t="shared" ref="P6:P34" si="1">D6</f>
        <v>0</v>
      </c>
    </row>
    <row r="7" spans="2:16">
      <c r="B7" s="8">
        <v>3</v>
      </c>
      <c r="C7" s="82">
        <f>'Calcolo incertezza U(LEX,8h)'!E7</f>
        <v>0</v>
      </c>
      <c r="D7" s="7">
        <f>PM!G45</f>
        <v>0</v>
      </c>
      <c r="E7" s="7" t="str">
        <f>IF(PM!G45&gt;80,PM!I45,"")</f>
        <v/>
      </c>
      <c r="F7" s="14">
        <v>0.75</v>
      </c>
      <c r="G7" s="15">
        <f t="shared" si="0"/>
        <v>0</v>
      </c>
      <c r="H7" s="81" t="str">
        <f t="shared" ref="H7:H34" si="2">IF(E7="","",IF(G7&gt;80,"Insufficiente",IF(OR(G7&gt;75,G7=80),"Accettabile",IF(OR(G7=75,G7&gt;70),"Buona",IF(OR(G7=70,G7&gt;65),"Accettabile",IF(OR(G7=65,G7&gt;0),"Iperprotezione",IF(OR(G7=0,G7&lt;0),"")))))))</f>
        <v/>
      </c>
      <c r="I7" s="6">
        <f>PM!D48</f>
        <v>0</v>
      </c>
      <c r="P7" s="83">
        <f t="shared" si="1"/>
        <v>0</v>
      </c>
    </row>
    <row r="8" spans="2:16">
      <c r="B8" s="8">
        <v>4</v>
      </c>
      <c r="C8" s="82">
        <f>'Calcolo incertezza U(LEX,8h)'!E8</f>
        <v>0</v>
      </c>
      <c r="D8" s="7">
        <f>PM!G61</f>
        <v>0</v>
      </c>
      <c r="E8" s="7" t="str">
        <f>IF(PM!G61&gt;80,PM!I61,"")</f>
        <v/>
      </c>
      <c r="F8" s="14">
        <v>0.75</v>
      </c>
      <c r="G8" s="15">
        <f t="shared" si="0"/>
        <v>0</v>
      </c>
      <c r="H8" s="81" t="str">
        <f t="shared" si="2"/>
        <v/>
      </c>
      <c r="I8" s="6">
        <f>PM!D64</f>
        <v>0</v>
      </c>
      <c r="P8" s="83">
        <f t="shared" si="1"/>
        <v>0</v>
      </c>
    </row>
    <row r="9" spans="2:16">
      <c r="B9" s="8">
        <v>5</v>
      </c>
      <c r="C9" s="82">
        <f>'Calcolo incertezza U(LEX,8h)'!E9</f>
        <v>0</v>
      </c>
      <c r="D9" s="7">
        <f>PM!G77</f>
        <v>0</v>
      </c>
      <c r="E9" s="7" t="str">
        <f>IF(PM!G77&gt;80,PM!I77,"")</f>
        <v/>
      </c>
      <c r="F9" s="14">
        <v>0.75</v>
      </c>
      <c r="G9" s="15">
        <f t="shared" si="0"/>
        <v>0</v>
      </c>
      <c r="H9" s="81" t="str">
        <f t="shared" si="2"/>
        <v/>
      </c>
      <c r="I9" s="6">
        <f>PM!D80</f>
        <v>0</v>
      </c>
      <c r="P9" s="83">
        <f t="shared" si="1"/>
        <v>0</v>
      </c>
    </row>
    <row r="10" spans="2:16">
      <c r="B10" s="8">
        <v>6</v>
      </c>
      <c r="C10" s="82">
        <f>'Calcolo incertezza U(LEX,8h)'!E10</f>
        <v>0</v>
      </c>
      <c r="D10" s="7">
        <f>PM!G93</f>
        <v>0</v>
      </c>
      <c r="E10" s="7" t="str">
        <f>IF(PM!G93&gt;80,PM!I93,"")</f>
        <v/>
      </c>
      <c r="F10" s="14">
        <v>0.75</v>
      </c>
      <c r="G10" s="15">
        <f t="shared" si="0"/>
        <v>0</v>
      </c>
      <c r="H10" s="81" t="str">
        <f t="shared" si="2"/>
        <v/>
      </c>
      <c r="I10" s="6">
        <f>PM!D96</f>
        <v>0</v>
      </c>
      <c r="P10" s="83">
        <f t="shared" si="1"/>
        <v>0</v>
      </c>
    </row>
    <row r="11" spans="2:16">
      <c r="B11" s="8">
        <v>7</v>
      </c>
      <c r="C11" s="82">
        <f>'Calcolo incertezza U(LEX,8h)'!E11</f>
        <v>0</v>
      </c>
      <c r="D11" s="7">
        <f>PM!G109</f>
        <v>0</v>
      </c>
      <c r="E11" s="7" t="str">
        <f>IF(PM!G109&gt;80,PM!I109,"")</f>
        <v/>
      </c>
      <c r="F11" s="14">
        <v>0.75</v>
      </c>
      <c r="G11" s="15">
        <f t="shared" si="0"/>
        <v>0</v>
      </c>
      <c r="H11" s="81" t="str">
        <f t="shared" si="2"/>
        <v/>
      </c>
      <c r="I11" s="6">
        <f>PM!D112</f>
        <v>0</v>
      </c>
      <c r="P11" s="83">
        <f t="shared" si="1"/>
        <v>0</v>
      </c>
    </row>
    <row r="12" spans="2:16">
      <c r="B12" s="8">
        <v>8</v>
      </c>
      <c r="C12" s="82">
        <f>'Calcolo incertezza U(LEX,8h)'!E12</f>
        <v>0</v>
      </c>
      <c r="D12" s="7">
        <f>PM!G125</f>
        <v>0</v>
      </c>
      <c r="E12" s="7" t="str">
        <f>IF(PM!G125&gt;80,PM!I125,"")</f>
        <v/>
      </c>
      <c r="F12" s="14">
        <v>0.75</v>
      </c>
      <c r="G12" s="15">
        <f t="shared" si="0"/>
        <v>0</v>
      </c>
      <c r="H12" s="81" t="str">
        <f t="shared" si="2"/>
        <v/>
      </c>
      <c r="I12" s="6">
        <f>PM!D128</f>
        <v>0</v>
      </c>
      <c r="P12" s="83">
        <f t="shared" si="1"/>
        <v>0</v>
      </c>
    </row>
    <row r="13" spans="2:16">
      <c r="B13" s="8">
        <v>9</v>
      </c>
      <c r="C13" s="82">
        <f>'Calcolo incertezza U(LEX,8h)'!E13</f>
        <v>0</v>
      </c>
      <c r="D13" s="7">
        <f>PM!G141</f>
        <v>0</v>
      </c>
      <c r="E13" s="7" t="str">
        <f>IF(PM!G141&gt;80,PM!I141,"")</f>
        <v/>
      </c>
      <c r="F13" s="14">
        <v>0.75</v>
      </c>
      <c r="G13" s="15">
        <f t="shared" si="0"/>
        <v>0</v>
      </c>
      <c r="H13" s="81" t="str">
        <f t="shared" si="2"/>
        <v/>
      </c>
      <c r="I13" s="6">
        <f>PM!D144</f>
        <v>0</v>
      </c>
      <c r="P13" s="83">
        <f t="shared" si="1"/>
        <v>0</v>
      </c>
    </row>
    <row r="14" spans="2:16">
      <c r="B14" s="8">
        <v>10</v>
      </c>
      <c r="C14" s="82">
        <f>'Calcolo incertezza U(LEX,8h)'!E14</f>
        <v>0</v>
      </c>
      <c r="D14" s="7">
        <f>PM!G157</f>
        <v>0</v>
      </c>
      <c r="E14" s="7" t="str">
        <f>IF(PM!G157&gt;80,PM!I157,"")</f>
        <v/>
      </c>
      <c r="F14" s="14">
        <v>0.75</v>
      </c>
      <c r="G14" s="15">
        <f t="shared" si="0"/>
        <v>0</v>
      </c>
      <c r="H14" s="81" t="str">
        <f t="shared" si="2"/>
        <v/>
      </c>
      <c r="I14" s="6">
        <f>PM!D160</f>
        <v>0</v>
      </c>
      <c r="P14" s="83">
        <f t="shared" si="1"/>
        <v>0</v>
      </c>
    </row>
    <row r="15" spans="2:16">
      <c r="B15" s="8">
        <v>11</v>
      </c>
      <c r="C15" s="82">
        <f>'Calcolo incertezza U(LEX,8h)'!E15</f>
        <v>0</v>
      </c>
      <c r="D15" s="7">
        <f>PM!G173</f>
        <v>0</v>
      </c>
      <c r="E15" s="7" t="str">
        <f>IF(PM!G173&gt;80,PM!I173,"")</f>
        <v/>
      </c>
      <c r="F15" s="14">
        <v>0.75</v>
      </c>
      <c r="G15" s="15">
        <f t="shared" si="0"/>
        <v>0</v>
      </c>
      <c r="H15" s="81" t="str">
        <f t="shared" si="2"/>
        <v/>
      </c>
      <c r="I15" s="6">
        <f>PM!D176</f>
        <v>0</v>
      </c>
      <c r="P15" s="83">
        <f t="shared" si="1"/>
        <v>0</v>
      </c>
    </row>
    <row r="16" spans="2:16">
      <c r="B16" s="8">
        <v>12</v>
      </c>
      <c r="C16" s="82">
        <f>'Calcolo incertezza U(LEX,8h)'!E16</f>
        <v>0</v>
      </c>
      <c r="D16" s="7">
        <f>PM!G189</f>
        <v>0</v>
      </c>
      <c r="E16" s="7" t="str">
        <f>IF(PM!G189&gt;80,PM!I189,"")</f>
        <v/>
      </c>
      <c r="F16" s="14">
        <v>0.75</v>
      </c>
      <c r="G16" s="15">
        <f t="shared" si="0"/>
        <v>0</v>
      </c>
      <c r="H16" s="81" t="str">
        <f t="shared" si="2"/>
        <v/>
      </c>
      <c r="I16" s="6">
        <f>PM!D192</f>
        <v>0</v>
      </c>
      <c r="P16" s="83">
        <f t="shared" si="1"/>
        <v>0</v>
      </c>
    </row>
    <row r="17" spans="2:16">
      <c r="B17" s="8">
        <v>13</v>
      </c>
      <c r="C17" s="82">
        <f>'Calcolo incertezza U(LEX,8h)'!E17</f>
        <v>0</v>
      </c>
      <c r="D17" s="7">
        <f>PM!G205</f>
        <v>0</v>
      </c>
      <c r="E17" s="7" t="str">
        <f>IF(PM!G205&gt;80,PM!I205,"")</f>
        <v/>
      </c>
      <c r="F17" s="14">
        <v>0.75</v>
      </c>
      <c r="G17" s="15">
        <f t="shared" si="0"/>
        <v>0</v>
      </c>
      <c r="H17" s="81" t="str">
        <f t="shared" si="2"/>
        <v/>
      </c>
      <c r="I17" s="6">
        <f>PM!D208</f>
        <v>0</v>
      </c>
      <c r="P17" s="83">
        <f t="shared" si="1"/>
        <v>0</v>
      </c>
    </row>
    <row r="18" spans="2:16">
      <c r="B18" s="8">
        <v>14</v>
      </c>
      <c r="C18" s="82">
        <f>'Calcolo incertezza U(LEX,8h)'!E18</f>
        <v>0</v>
      </c>
      <c r="D18" s="7">
        <f>PM!G221</f>
        <v>0</v>
      </c>
      <c r="E18" s="7" t="str">
        <f>IF(PM!G221&gt;80,PM!I221,"")</f>
        <v/>
      </c>
      <c r="F18" s="14">
        <v>0.75</v>
      </c>
      <c r="G18" s="15">
        <f t="shared" si="0"/>
        <v>0</v>
      </c>
      <c r="H18" s="81" t="str">
        <f t="shared" si="2"/>
        <v/>
      </c>
      <c r="I18" s="6">
        <f>PM!D224</f>
        <v>0</v>
      </c>
      <c r="P18" s="83">
        <f t="shared" si="1"/>
        <v>0</v>
      </c>
    </row>
    <row r="19" spans="2:16">
      <c r="B19" s="8">
        <v>15</v>
      </c>
      <c r="C19" s="82">
        <f>'Calcolo incertezza U(LEX,8h)'!E19</f>
        <v>0</v>
      </c>
      <c r="D19" s="7">
        <f>PM!G237</f>
        <v>0</v>
      </c>
      <c r="E19" s="7" t="str">
        <f>IF(PM!G237&gt;80,PM!I237,"")</f>
        <v/>
      </c>
      <c r="F19" s="14">
        <v>0.75</v>
      </c>
      <c r="G19" s="15">
        <f t="shared" si="0"/>
        <v>0</v>
      </c>
      <c r="H19" s="81" t="str">
        <f t="shared" si="2"/>
        <v/>
      </c>
      <c r="I19" s="6">
        <f>PM!D240</f>
        <v>0</v>
      </c>
      <c r="P19" s="83">
        <f t="shared" si="1"/>
        <v>0</v>
      </c>
    </row>
    <row r="20" spans="2:16">
      <c r="B20" s="8">
        <v>16</v>
      </c>
      <c r="C20" s="82">
        <f>'Calcolo incertezza U(LEX,8h)'!E20</f>
        <v>0</v>
      </c>
      <c r="D20" s="7">
        <f>PM!G253</f>
        <v>0</v>
      </c>
      <c r="E20" s="7" t="str">
        <f>IF(PM!G253&gt;80,PM!I253,"")</f>
        <v/>
      </c>
      <c r="F20" s="14">
        <v>0.75</v>
      </c>
      <c r="G20" s="15">
        <f t="shared" si="0"/>
        <v>0</v>
      </c>
      <c r="H20" s="81" t="str">
        <f t="shared" si="2"/>
        <v/>
      </c>
      <c r="I20" s="6">
        <f>PM!D256</f>
        <v>0</v>
      </c>
      <c r="P20" s="83">
        <f t="shared" si="1"/>
        <v>0</v>
      </c>
    </row>
    <row r="21" spans="2:16">
      <c r="B21" s="8">
        <v>17</v>
      </c>
      <c r="C21" s="82">
        <f>'Calcolo incertezza U(LEX,8h)'!E21</f>
        <v>0</v>
      </c>
      <c r="D21" s="7">
        <f>PM!G269</f>
        <v>0</v>
      </c>
      <c r="E21" s="7" t="str">
        <f>IF(PM!G269&gt;80,PM!I269,"")</f>
        <v/>
      </c>
      <c r="F21" s="14">
        <v>0.75</v>
      </c>
      <c r="G21" s="15">
        <f t="shared" si="0"/>
        <v>0</v>
      </c>
      <c r="H21" s="81" t="str">
        <f t="shared" si="2"/>
        <v/>
      </c>
      <c r="I21" s="6">
        <f>PM!D272</f>
        <v>0</v>
      </c>
      <c r="P21" s="83">
        <f t="shared" si="1"/>
        <v>0</v>
      </c>
    </row>
    <row r="22" spans="2:16">
      <c r="B22" s="8">
        <v>18</v>
      </c>
      <c r="C22" s="82">
        <f>'Calcolo incertezza U(LEX,8h)'!E22</f>
        <v>0</v>
      </c>
      <c r="D22" s="7">
        <f>PM!G285</f>
        <v>0</v>
      </c>
      <c r="E22" s="7" t="str">
        <f>IF(PM!G285&gt;80,PM!I285,"")</f>
        <v/>
      </c>
      <c r="F22" s="14">
        <v>0.75</v>
      </c>
      <c r="G22" s="15">
        <f t="shared" si="0"/>
        <v>0</v>
      </c>
      <c r="H22" s="81" t="str">
        <f t="shared" si="2"/>
        <v/>
      </c>
      <c r="I22" s="6">
        <f>PM!D288</f>
        <v>0</v>
      </c>
      <c r="P22" s="83">
        <f t="shared" si="1"/>
        <v>0</v>
      </c>
    </row>
    <row r="23" spans="2:16">
      <c r="B23" s="8">
        <v>19</v>
      </c>
      <c r="C23" s="82">
        <f>'Calcolo incertezza U(LEX,8h)'!E23</f>
        <v>0</v>
      </c>
      <c r="D23" s="7">
        <f>PM!G301</f>
        <v>0</v>
      </c>
      <c r="E23" s="7" t="str">
        <f>IF(PM!G301&gt;80,PM!I301,"")</f>
        <v/>
      </c>
      <c r="F23" s="14">
        <v>0.75</v>
      </c>
      <c r="G23" s="15">
        <f t="shared" si="0"/>
        <v>0</v>
      </c>
      <c r="H23" s="81" t="str">
        <f t="shared" si="2"/>
        <v/>
      </c>
      <c r="I23" s="6">
        <f>PM!D304</f>
        <v>0</v>
      </c>
      <c r="P23" s="83">
        <f t="shared" si="1"/>
        <v>0</v>
      </c>
    </row>
    <row r="24" spans="2:16">
      <c r="B24" s="8">
        <v>20</v>
      </c>
      <c r="C24" s="82">
        <f>'Calcolo incertezza U(LEX,8h)'!E24</f>
        <v>0</v>
      </c>
      <c r="D24" s="7">
        <f>PM!G317</f>
        <v>0</v>
      </c>
      <c r="E24" s="7" t="str">
        <f>IF(PM!G317&gt;80,PM!I317,"")</f>
        <v/>
      </c>
      <c r="F24" s="14">
        <v>0.75</v>
      </c>
      <c r="G24" s="15">
        <f t="shared" si="0"/>
        <v>0</v>
      </c>
      <c r="H24" s="81" t="str">
        <f t="shared" si="2"/>
        <v/>
      </c>
      <c r="I24" s="6">
        <f>PM!D320</f>
        <v>0</v>
      </c>
      <c r="P24" s="83">
        <f t="shared" si="1"/>
        <v>0</v>
      </c>
    </row>
    <row r="25" spans="2:16">
      <c r="B25" s="8">
        <v>21</v>
      </c>
      <c r="C25" s="82">
        <f>'Calcolo incertezza U(LEX,8h)'!E25</f>
        <v>0</v>
      </c>
      <c r="D25" s="7">
        <f>PM!G333</f>
        <v>0</v>
      </c>
      <c r="E25" s="7" t="str">
        <f>IF(PM!G333&gt;80,PM!I333,"")</f>
        <v/>
      </c>
      <c r="F25" s="14">
        <v>0.75</v>
      </c>
      <c r="G25" s="15">
        <f t="shared" si="0"/>
        <v>0</v>
      </c>
      <c r="H25" s="81" t="str">
        <f t="shared" si="2"/>
        <v/>
      </c>
      <c r="I25" s="6">
        <f>PM!D336</f>
        <v>0</v>
      </c>
      <c r="P25" s="83">
        <f t="shared" si="1"/>
        <v>0</v>
      </c>
    </row>
    <row r="26" spans="2:16">
      <c r="B26" s="8">
        <v>22</v>
      </c>
      <c r="C26" s="82">
        <f>'Calcolo incertezza U(LEX,8h)'!E26</f>
        <v>0</v>
      </c>
      <c r="D26" s="7">
        <f>PM!G349</f>
        <v>0</v>
      </c>
      <c r="E26" s="7" t="str">
        <f>IF(PM!G349&gt;80,PM!I349,"")</f>
        <v/>
      </c>
      <c r="F26" s="14">
        <v>0.75</v>
      </c>
      <c r="G26" s="15">
        <f t="shared" si="0"/>
        <v>0</v>
      </c>
      <c r="H26" s="81" t="str">
        <f t="shared" si="2"/>
        <v/>
      </c>
      <c r="I26" s="6">
        <f>PM!D352</f>
        <v>0</v>
      </c>
      <c r="P26" s="83">
        <f t="shared" si="1"/>
        <v>0</v>
      </c>
    </row>
    <row r="27" spans="2:16">
      <c r="B27" s="8">
        <v>23</v>
      </c>
      <c r="C27" s="82">
        <f>'Calcolo incertezza U(LEX,8h)'!E27</f>
        <v>0</v>
      </c>
      <c r="D27" s="7">
        <f>PM!G365</f>
        <v>0</v>
      </c>
      <c r="E27" s="7" t="str">
        <f>IF(PM!G365&gt;80,PM!I365,"")</f>
        <v/>
      </c>
      <c r="F27" s="14">
        <v>0.75</v>
      </c>
      <c r="G27" s="15">
        <f t="shared" si="0"/>
        <v>0</v>
      </c>
      <c r="H27" s="81" t="str">
        <f t="shared" si="2"/>
        <v/>
      </c>
      <c r="I27" s="6">
        <f>PM!D368</f>
        <v>0</v>
      </c>
      <c r="P27" s="83">
        <f t="shared" si="1"/>
        <v>0</v>
      </c>
    </row>
    <row r="28" spans="2:16">
      <c r="B28" s="8">
        <v>24</v>
      </c>
      <c r="C28" s="82">
        <f>'Calcolo incertezza U(LEX,8h)'!E28</f>
        <v>0</v>
      </c>
      <c r="D28" s="7">
        <f>PM!G381</f>
        <v>0</v>
      </c>
      <c r="E28" s="7" t="str">
        <f>IF(PM!G381&gt;80,PM!I381,"")</f>
        <v/>
      </c>
      <c r="F28" s="14">
        <v>0.75</v>
      </c>
      <c r="G28" s="15">
        <f t="shared" si="0"/>
        <v>0</v>
      </c>
      <c r="H28" s="81" t="str">
        <f t="shared" si="2"/>
        <v/>
      </c>
      <c r="I28" s="6">
        <f>PM!D384</f>
        <v>0</v>
      </c>
      <c r="P28" s="83">
        <f t="shared" si="1"/>
        <v>0</v>
      </c>
    </row>
    <row r="29" spans="2:16">
      <c r="B29" s="8">
        <v>25</v>
      </c>
      <c r="C29" s="82">
        <f>'Calcolo incertezza U(LEX,8h)'!E29</f>
        <v>0</v>
      </c>
      <c r="D29" s="7">
        <f>PM!G397</f>
        <v>0</v>
      </c>
      <c r="E29" s="7" t="str">
        <f>IF(PM!G397&gt;80,PM!I397,"")</f>
        <v/>
      </c>
      <c r="F29" s="14">
        <v>0.75</v>
      </c>
      <c r="G29" s="15">
        <f t="shared" si="0"/>
        <v>0</v>
      </c>
      <c r="H29" s="81" t="str">
        <f t="shared" si="2"/>
        <v/>
      </c>
      <c r="I29" s="6">
        <f>PM!D400</f>
        <v>0</v>
      </c>
      <c r="P29" s="83">
        <f t="shared" si="1"/>
        <v>0</v>
      </c>
    </row>
    <row r="30" spans="2:16">
      <c r="B30" s="8">
        <v>26</v>
      </c>
      <c r="C30" s="82">
        <f>'Calcolo incertezza U(LEX,8h)'!E30</f>
        <v>0</v>
      </c>
      <c r="D30" s="7">
        <f>PM!G413</f>
        <v>0</v>
      </c>
      <c r="E30" s="7" t="str">
        <f>IF(PM!G413&gt;80,PM!I413,"")</f>
        <v/>
      </c>
      <c r="F30" s="14">
        <v>0.75</v>
      </c>
      <c r="G30" s="15">
        <f t="shared" si="0"/>
        <v>0</v>
      </c>
      <c r="H30" s="81" t="str">
        <f t="shared" si="2"/>
        <v/>
      </c>
      <c r="I30" s="6">
        <f>PM!D416</f>
        <v>0</v>
      </c>
      <c r="P30" s="83">
        <f t="shared" si="1"/>
        <v>0</v>
      </c>
    </row>
    <row r="31" spans="2:16">
      <c r="B31" s="8">
        <v>27</v>
      </c>
      <c r="C31" s="82">
        <f>'Calcolo incertezza U(LEX,8h)'!E31</f>
        <v>0</v>
      </c>
      <c r="D31" s="7">
        <f>PM!G429</f>
        <v>0</v>
      </c>
      <c r="E31" s="7" t="str">
        <f>IF(PM!G429&gt;80,PM!I429,"")</f>
        <v/>
      </c>
      <c r="F31" s="14">
        <v>0.75</v>
      </c>
      <c r="G31" s="15">
        <f t="shared" si="0"/>
        <v>0</v>
      </c>
      <c r="H31" s="81" t="str">
        <f t="shared" si="2"/>
        <v/>
      </c>
      <c r="I31" s="6">
        <f>PM!D432</f>
        <v>0</v>
      </c>
      <c r="P31" s="83">
        <f t="shared" si="1"/>
        <v>0</v>
      </c>
    </row>
    <row r="32" spans="2:16">
      <c r="B32" s="8">
        <v>28</v>
      </c>
      <c r="C32" s="82">
        <f>'Calcolo incertezza U(LEX,8h)'!E32</f>
        <v>0</v>
      </c>
      <c r="D32" s="7">
        <f>PM!G445</f>
        <v>0</v>
      </c>
      <c r="E32" s="7" t="str">
        <f>IF(PM!G445&gt;80,PM!I445,"")</f>
        <v/>
      </c>
      <c r="F32" s="14">
        <v>0.75</v>
      </c>
      <c r="G32" s="15">
        <f t="shared" si="0"/>
        <v>0</v>
      </c>
      <c r="H32" s="81" t="str">
        <f t="shared" si="2"/>
        <v/>
      </c>
      <c r="I32" s="6">
        <f>PM!D448</f>
        <v>0</v>
      </c>
      <c r="P32" s="83">
        <f t="shared" si="1"/>
        <v>0</v>
      </c>
    </row>
    <row r="33" spans="2:16">
      <c r="B33" s="8">
        <v>29</v>
      </c>
      <c r="C33" s="82">
        <f>'Calcolo incertezza U(LEX,8h)'!E33</f>
        <v>0</v>
      </c>
      <c r="D33" s="7">
        <f>PM!G461</f>
        <v>0</v>
      </c>
      <c r="E33" s="7" t="str">
        <f>IF(PM!G461&gt;80,PM!I461,"")</f>
        <v/>
      </c>
      <c r="F33" s="14">
        <v>0.75</v>
      </c>
      <c r="G33" s="15">
        <f t="shared" si="0"/>
        <v>0</v>
      </c>
      <c r="H33" s="81" t="str">
        <f t="shared" si="2"/>
        <v/>
      </c>
      <c r="I33" s="6">
        <f>PM!D464</f>
        <v>0</v>
      </c>
      <c r="P33" s="83">
        <f t="shared" si="1"/>
        <v>0</v>
      </c>
    </row>
    <row r="34" spans="2:16">
      <c r="B34" s="8">
        <v>30</v>
      </c>
      <c r="C34" s="82">
        <f>'Calcolo incertezza U(LEX,8h)'!E34</f>
        <v>0</v>
      </c>
      <c r="D34" s="7">
        <f>PM!G477</f>
        <v>0</v>
      </c>
      <c r="E34" s="7" t="str">
        <f>IF(PM!G477&gt;80,PM!I477,"")</f>
        <v/>
      </c>
      <c r="F34" s="14">
        <v>0.75</v>
      </c>
      <c r="G34" s="15">
        <f t="shared" si="0"/>
        <v>0</v>
      </c>
      <c r="H34" s="81" t="str">
        <f t="shared" si="2"/>
        <v/>
      </c>
      <c r="I34" s="6">
        <f>PM!D480</f>
        <v>0</v>
      </c>
      <c r="P34" s="84">
        <f t="shared" si="1"/>
        <v>0</v>
      </c>
    </row>
  </sheetData>
  <sheetProtection algorithmName="SHA-512" hashValue="c9ndT9/cVXzEEvMlTgGrzI4xKcdJAgDuj7YuNkz+/wGk7pEtQNiUTj32YDFXuvqhNn2z/3qVJal81EU5oWGG4Q==" saltValue="+XMmSjao7tOtvmNdJh8FeA==" spinCount="100000" sheet="1" objects="1" scenarios="1"/>
  <mergeCells count="3">
    <mergeCell ref="J3:L3"/>
    <mergeCell ref="D2:L2"/>
    <mergeCell ref="B3:G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F03B-1AE5-4F14-9A67-E3575B0E7444}">
  <dimension ref="B2:U5"/>
  <sheetViews>
    <sheetView zoomScale="70" zoomScaleNormal="70" workbookViewId="0">
      <selection activeCell="F4" sqref="F4"/>
    </sheetView>
  </sheetViews>
  <sheetFormatPr defaultRowHeight="15.4"/>
  <cols>
    <col min="1" max="1" width="5.375" style="3" customWidth="1"/>
    <col min="2" max="2" width="34.625" style="3" customWidth="1"/>
    <col min="3" max="3" width="11.375" style="3" customWidth="1"/>
    <col min="4" max="4" width="14.625" style="3" customWidth="1"/>
    <col min="5" max="5" width="12.625" style="3" customWidth="1"/>
    <col min="6" max="6" width="17.125" style="3" customWidth="1"/>
    <col min="7" max="7" width="13" style="3" customWidth="1"/>
    <col min="8" max="16384" width="9" style="3"/>
  </cols>
  <sheetData>
    <row r="2" spans="2:21" ht="15.75" thickBot="1"/>
    <row r="3" spans="2:21" ht="30.4" thickTop="1">
      <c r="B3" s="18" t="s">
        <v>15</v>
      </c>
      <c r="C3" s="19" t="s">
        <v>66</v>
      </c>
      <c r="D3" s="19" t="s">
        <v>90</v>
      </c>
      <c r="E3" s="19" t="s">
        <v>79</v>
      </c>
      <c r="F3" s="85" t="s">
        <v>91</v>
      </c>
      <c r="G3" s="20" t="s">
        <v>81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ht="15.75" thickBot="1">
      <c r="B4" s="12">
        <f>PM!B10</f>
        <v>0</v>
      </c>
      <c r="C4" s="13" t="e">
        <f>'Calcolo incertezza U(LEX,8h)'!F2</f>
        <v>#NUM!</v>
      </c>
      <c r="D4" s="13" t="e">
        <f>'L''EX,8hmax esp. giorn. con DPI'!J5</f>
        <v>#NUM!</v>
      </c>
      <c r="E4" s="13">
        <f>'L''EX,8hmax esp. giorn. con DPI'!K5</f>
        <v>0</v>
      </c>
      <c r="F4" s="86" t="e">
        <f>'L''EX,8hmax esp. giorn. con DPI'!L5</f>
        <v>#NUM!</v>
      </c>
      <c r="G4" s="11">
        <f>'Tab. riassuntiva LEX,8h'!F4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2:21" ht="15.75" thickTop="1"/>
  </sheetData>
  <sheetProtection algorithmName="SHA-512" hashValue="RduxjhUkIpj/D62bVdPTcQM1LZvmZ65BMhC1xS8UF3VCdQap/Ky6A2bwWoZ0/oADedNDvkZZ/neGPyYivNR8dQ==" saltValue="BRbie4//QJByCprkQjqbq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di Microsoft Office</dc:creator>
  <cp:keywords/>
  <dc:description/>
  <cp:lastModifiedBy>Luca Allevi</cp:lastModifiedBy>
  <cp:revision/>
  <dcterms:created xsi:type="dcterms:W3CDTF">2018-01-10T09:15:47Z</dcterms:created>
  <dcterms:modified xsi:type="dcterms:W3CDTF">2023-08-02T15:03:52Z</dcterms:modified>
  <cp:category/>
  <cp:contentStatus/>
</cp:coreProperties>
</file>