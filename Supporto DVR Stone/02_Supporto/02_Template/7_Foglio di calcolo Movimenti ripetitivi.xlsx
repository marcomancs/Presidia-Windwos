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chelaberardini/Desktop/Documenti SICUREZZA/00_CAPITOLI/"/>
    </mc:Choice>
  </mc:AlternateContent>
  <xr:revisionPtr revIDLastSave="0" documentId="13_ncr:1_{403A9BF6-D249-5C4E-9003-E0B2104D4565}" xr6:coauthVersionLast="47" xr6:coauthVersionMax="47" xr10:uidLastSave="{00000000-0000-0000-0000-000000000000}"/>
  <bookViews>
    <workbookView xWindow="21020" yWindow="600" windowWidth="22120" windowHeight="19460" firstSheet="2" activeTab="2" xr2:uid="{00000000-000D-0000-FFFF-FFFF00000000}"/>
  </bookViews>
  <sheets>
    <sheet name="CHECK LIST OCRA" sheetId="5" r:id="rId1"/>
    <sheet name="Vuoto 1" sheetId="7" r:id="rId2"/>
    <sheet name="Vuoto 2" sheetId="8" r:id="rId3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5" i="8" l="1"/>
  <c r="O52" i="8"/>
  <c r="O55" i="7"/>
  <c r="O52" i="7"/>
  <c r="O17" i="7"/>
  <c r="O18" i="7"/>
  <c r="O19" i="7"/>
  <c r="O17" i="5"/>
  <c r="O18" i="5"/>
  <c r="O19" i="5"/>
  <c r="O55" i="5"/>
  <c r="O52" i="5"/>
</calcChain>
</file>

<file path=xl/sharedStrings.xml><?xml version="1.0" encoding="utf-8"?>
<sst xmlns="http://schemas.openxmlformats.org/spreadsheetml/2006/main" count="237" uniqueCount="81">
  <si>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</si>
  <si>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</si>
  <si>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</si>
  <si>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</si>
  <si>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</si>
  <si>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</si>
  <si>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</si>
  <si>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</si>
  <si>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</si>
  <si>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</si>
  <si>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</si>
  <si>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</si>
  <si>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</si>
  <si>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</si>
  <si>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</si>
  <si>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</si>
  <si>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</si>
  <si>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</si>
  <si>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</si>
  <si>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</si>
  <si>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</si>
  <si>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</si>
  <si>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</si>
  <si>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</si>
  <si>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</si>
  <si>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</si>
  <si>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</si>
  <si>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</si>
  <si>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</si>
  <si>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</si>
  <si>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</si>
  <si>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</si>
  <si>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</si>
  <si>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</si>
  <si>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</si>
  <si>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</si>
  <si>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</si>
  <si>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</si>
  <si>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</si>
  <si>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</si>
  <si>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</si>
  <si>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</si>
  <si>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</si>
  <si>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</si>
  <si>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</si>
  <si>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</si>
  <si>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</si>
  <si>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</si>
  <si>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</si>
  <si>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</si>
  <si>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</si>
  <si>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</si>
  <si>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</si>
  <si>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</si>
  <si>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</si>
  <si>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</si>
  <si>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</si>
  <si>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</si>
  <si>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</si>
  <si>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</si>
  <si>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</si>
  <si>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</si>
  <si>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</si>
  <si>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</si>
  <si>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</si>
  <si>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</si>
  <si>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</si>
  <si>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</si>
  <si>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</si>
  <si>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</si>
  <si>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</si>
  <si>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</si>
  <si>
    <r>
      <t xml:space="preserve">DURATA TURNO (minuti) EFFETTIVA </t>
    </r>
    <r>
      <rPr>
        <b/>
        <sz val="10"/>
        <rFont val="Aptos"/>
      </rPr>
      <t>(a)</t>
    </r>
  </si>
  <si>
    <r>
      <t xml:space="preserve">DURATA LAVORI NON RIPETITIVI (pulizie, approvvigionamenti, ecc…) in minuti </t>
    </r>
    <r>
      <rPr>
        <b/>
        <sz val="10"/>
        <rFont val="Aptos"/>
      </rPr>
      <t>(d)</t>
    </r>
  </si>
  <si>
    <r>
      <t xml:space="preserve">DURATA EFFETTIVA COMPLESSIVA DELLE PAUSE (esclusa pausa mensa) in minuti </t>
    </r>
    <r>
      <rPr>
        <b/>
        <sz val="10"/>
        <rFont val="Aptos"/>
      </rPr>
      <t>(b)</t>
    </r>
  </si>
  <si>
    <r>
      <t xml:space="preserve">DURATA EFFETTIVA PAUSA MENSA (se presente) INTERNA AL TURNO (RETRIBUITA) in minuti </t>
    </r>
    <r>
      <rPr>
        <b/>
        <sz val="10"/>
        <rFont val="Aptos"/>
      </rPr>
      <t>(c)</t>
    </r>
  </si>
  <si>
    <r>
      <t xml:space="preserve">Ci sono veri e propri cicli: scrivere il numero dei pezzi/lavoratore/turno </t>
    </r>
    <r>
      <rPr>
        <b/>
        <sz val="10"/>
        <rFont val="Aptos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</si>
  <si>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Aptos"/>
      </rPr>
      <t>(h)</t>
    </r>
  </si>
  <si>
    <r>
      <t>Durata media netta nel turno del lavoro ripetitivo (in minuti) →</t>
    </r>
    <r>
      <rPr>
        <b/>
        <sz val="9"/>
        <rFont val="Aptos"/>
      </rPr>
      <t xml:space="preserve"> (e) = (a) - (b) - (c) - (d)</t>
    </r>
  </si>
  <si>
    <t>≤ 22,5</t>
  </si>
  <si>
    <t>≥ 67,5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</si>
</sst>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name val="Arial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Symbol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Calibri"/>
      <family val="2"/>
    </font>
    <font>
      <sz val="9"/>
      <name val="Arial"/>
      <family val="2"/>
    </font>
    <font>
      <b/>
      <sz val="10"/>
      <name val="Arial"/>
      <family val="2"/>
    </font>
    <font>
      <b/>
      <sz val="14"/>
      <name val="Aptos"/>
    </font>
    <font>
      <b/>
      <sz val="12"/>
      <name val="Aptos"/>
    </font>
    <font>
      <b/>
      <sz val="10"/>
      <name val="Aptos"/>
    </font>
    <font>
      <sz val="14"/>
      <name val="Aptos"/>
    </font>
    <font>
      <sz val="10"/>
      <name val="Aptos"/>
    </font>
    <font>
      <b/>
      <sz val="9"/>
      <name val="Aptos"/>
    </font>
    <font>
      <sz val="9"/>
      <name val="Aptos"/>
    </font>
    <font>
      <sz val="8"/>
      <name val="Aptos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/>
    <xf numFmtId="0" fontId="5" fillId="0" borderId="0" xfId="0" quotePrefix="1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right"/>
    </xf>
    <xf numFmtId="0" fontId="6" fillId="0" borderId="0" xfId="0" quotePrefix="1" applyFont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/>
    <xf numFmtId="2" fontId="6" fillId="0" borderId="0" xfId="0" applyNumberFormat="1" applyFont="1"/>
    <xf numFmtId="0" fontId="6" fillId="0" borderId="2" xfId="0" applyFont="1" applyBorder="1" applyAlignment="1">
      <alignment horizontal="center" wrapText="1"/>
    </xf>
    <xf numFmtId="2" fontId="12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2" fontId="6" fillId="0" borderId="4" xfId="0" applyNumberFormat="1" applyFont="1" applyBorder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" fillId="0" borderId="5" xfId="0" applyFont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quotePrefix="1" applyFont="1" applyAlignment="1">
      <alignment horizontal="center"/>
    </xf>
    <xf numFmtId="0" fontId="16" fillId="0" borderId="0" xfId="0" quotePrefix="1" applyFont="1"/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9" fillId="0" borderId="5" xfId="0" applyFont="1" applyBorder="1"/>
    <xf numFmtId="0" fontId="20" fillId="0" borderId="0" xfId="0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18" fillId="0" borderId="0" xfId="0" applyFont="1"/>
    <xf numFmtId="0" fontId="20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2" borderId="3" xfId="0" applyFont="1" applyFill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0" fillId="0" borderId="0" xfId="0" applyNumberFormat="1" applyFont="1"/>
    <xf numFmtId="0" fontId="20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18" fillId="0" borderId="0" xfId="0" quotePrefix="1" applyFont="1" applyAlignment="1">
      <alignment horizontal="center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horizontal="center"/>
    </xf>
    <xf numFmtId="2" fontId="20" fillId="0" borderId="4" xfId="0" applyNumberFormat="1" applyFont="1" applyBorder="1" applyAlignment="1">
      <alignment vertical="center"/>
    </xf>
    <xf numFmtId="2" fontId="20" fillId="0" borderId="0" xfId="0" applyNumberFormat="1" applyFont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wrapText="1"/>
    </xf>
    <xf numFmtId="0" fontId="20" fillId="0" borderId="0" xfId="0" quotePrefix="1" applyFont="1" applyAlignment="1">
      <alignment horizontal="right"/>
    </xf>
    <xf numFmtId="0" fontId="20" fillId="0" borderId="0" xfId="0" quotePrefix="1" applyFont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9" xfId="0" applyNumberFormat="1" applyFont="1" applyBorder="1" applyAlignment="1">
      <alignment horizontal="center" vertical="center"/>
    </xf>
    <xf numFmtId="2" fontId="16" fillId="0" borderId="20" xfId="0" applyNumberFormat="1" applyFont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14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0" borderId="0" xfId="0" quotePrefix="1" applyFont="1" applyAlignment="1">
      <alignment horizontal="left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10" fontId="17" fillId="0" borderId="7" xfId="0" applyNumberFormat="1" applyFont="1" applyBorder="1" applyAlignment="1">
      <alignment horizontal="center" vertical="center"/>
    </xf>
    <xf numFmtId="10" fontId="17" fillId="0" borderId="5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2" fontId="17" fillId="0" borderId="7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7" fillId="0" borderId="7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6" fillId="0" borderId="7" xfId="0" quotePrefix="1" applyFont="1" applyBorder="1" applyAlignment="1">
      <alignment horizontal="center"/>
    </xf>
    <xf numFmtId="0" fontId="16" fillId="0" borderId="5" xfId="0" quotePrefix="1" applyFont="1" applyBorder="1" applyAlignment="1">
      <alignment horizontal="center"/>
    </xf>
    <xf numFmtId="2" fontId="5" fillId="0" borderId="17" xfId="0" applyNumberFormat="1" applyFont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2" fontId="5" fillId="0" borderId="20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2" fontId="12" fillId="0" borderId="3" xfId="0" applyNumberFormat="1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7" xfId="0" quotePrefix="1" applyFont="1" applyBorder="1" applyAlignment="1">
      <alignment horizontal="center"/>
    </xf>
    <xf numFmtId="0" fontId="5" fillId="0" borderId="5" xfId="0" quotePrefix="1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0" fontId="9" fillId="0" borderId="7" xfId="0" applyNumberFormat="1" applyFont="1" applyBorder="1" applyAlignment="1">
      <alignment horizontal="center" vertical="center"/>
    </xf>
    <xf numFmtId="10" fontId="9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2" fontId="9" fillId="0" borderId="7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6"/>
  <sheetViews>
    <sheetView showGridLines="0" zoomScale="90" zoomScaleNormal="90" workbookViewId="0">
      <selection activeCell="G67" sqref="G67"/>
    </sheetView>
  </sheetViews>
  <sheetFormatPr baseColWidth="10" defaultColWidth="8.6640625" defaultRowHeight="13"/>
  <cols>
    <col min="2" max="2" width="20.6640625" customWidth="1"/>
    <col min="3" max="13" width="6.6640625" customWidth="1"/>
    <col min="14" max="14" width="5.33203125" customWidth="1"/>
    <col min="15" max="15" width="6.6640625" customWidth="1"/>
    <col min="16" max="16" width="6.33203125" style="2" customWidth="1"/>
  </cols>
  <sheetData>
    <row r="1" spans="2:16" s="1" customFormat="1" ht="18">
      <c r="B1" s="148" t="s">
        <v>0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</row>
    <row r="2" spans="2:16" s="1" customFormat="1" ht="9.75" customHeight="1" thickBot="1">
      <c r="B2" s="3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</row>
    <row r="3" spans="2:16" s="1" customFormat="1" ht="19" thickBot="1">
      <c r="B3" s="151" t="s">
        <v>1</v>
      </c>
      <c r="C3" s="152"/>
      <c r="D3" s="152"/>
      <c r="E3" s="152"/>
      <c r="F3" s="152"/>
      <c r="G3" s="152"/>
      <c r="H3" s="152"/>
      <c r="I3" s="152"/>
      <c r="J3" s="13"/>
      <c r="K3" s="13"/>
      <c r="L3" s="13"/>
      <c r="M3" s="30" t="s">
        <v>2</v>
      </c>
      <c r="N3" s="31"/>
      <c r="O3" s="153">
        <v>1</v>
      </c>
      <c r="P3" s="154"/>
    </row>
    <row r="4" spans="2:16" ht="14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6" ht="14" thickBot="1">
      <c r="B5" s="140" t="s">
        <v>3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9">
        <v>480</v>
      </c>
      <c r="P5" s="150"/>
    </row>
    <row r="6" spans="2:16" ht="14" thickBot="1">
      <c r="B6" s="140" t="s">
        <v>4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9">
        <v>465</v>
      </c>
      <c r="P6" s="150"/>
    </row>
    <row r="7" spans="2:16" ht="14" thickBot="1">
      <c r="B7" s="140" t="s">
        <v>5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9">
        <v>20</v>
      </c>
      <c r="P7" s="150"/>
    </row>
    <row r="8" spans="2:16" ht="14" thickBot="1">
      <c r="B8" s="140" t="s">
        <v>6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9">
        <v>2</v>
      </c>
      <c r="P8" s="150"/>
    </row>
    <row r="9" spans="2:16" ht="14" thickBot="1">
      <c r="B9" s="140" t="s">
        <v>7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9">
        <v>20</v>
      </c>
      <c r="P9" s="150"/>
    </row>
    <row r="10" spans="2:16" ht="14" thickBot="1">
      <c r="B10" s="155" t="s">
        <v>8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40"/>
      <c r="O10" s="149">
        <v>0</v>
      </c>
      <c r="P10" s="150"/>
    </row>
    <row r="11" spans="2:16" ht="27.5" customHeight="1" thickBot="1">
      <c r="B11" s="160" t="s">
        <v>9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49">
        <v>1</v>
      </c>
      <c r="P11" s="150"/>
    </row>
    <row r="12" spans="2:16" ht="14" thickBot="1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2:16" ht="14" thickBot="1">
      <c r="B13" s="140" t="s">
        <v>10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9">
        <v>500</v>
      </c>
      <c r="P13" s="150"/>
    </row>
    <row r="14" spans="2:16" ht="14" thickBot="1">
      <c r="B14" s="140" t="s">
        <v>11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9">
        <v>50</v>
      </c>
      <c r="P14" s="150"/>
    </row>
    <row r="15" spans="2:16" ht="14" thickBot="1">
      <c r="B15" s="140" t="s">
        <v>12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9"/>
      <c r="P15" s="150"/>
    </row>
    <row r="16" spans="2:16" ht="14" thickBot="1">
      <c r="B16" s="140" t="s">
        <v>13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9"/>
      <c r="P16" s="150"/>
    </row>
    <row r="17" spans="2:16" ht="17" thickBot="1">
      <c r="B17" s="143" t="s">
        <v>14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56">
        <f>O6-O7-O10-O9</f>
        <v>425</v>
      </c>
      <c r="P17" s="157"/>
    </row>
    <row r="18" spans="2:16" ht="17" thickBot="1">
      <c r="B18" s="143" t="s">
        <v>15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62">
        <f>O17*60/O13</f>
        <v>51</v>
      </c>
      <c r="P18" s="163"/>
    </row>
    <row r="19" spans="2:16" ht="17" thickBot="1">
      <c r="B19" s="143" t="s">
        <v>16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58">
        <f>(O18-O14)/O18</f>
        <v>1.9607843137254902E-2</v>
      </c>
      <c r="P19" s="159"/>
    </row>
    <row r="20" spans="2:16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33"/>
    </row>
    <row r="21" spans="2:16" ht="13.25" customHeight="1">
      <c r="B21" s="142" t="s">
        <v>17</v>
      </c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29" t="s">
        <v>18</v>
      </c>
      <c r="P21" s="29" t="s">
        <v>19</v>
      </c>
    </row>
    <row r="22" spans="2:16" ht="6" customHeight="1" thickBot="1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</row>
    <row r="23" spans="2:16" ht="30" customHeight="1">
      <c r="B23" s="22" t="s">
        <v>20</v>
      </c>
      <c r="C23" s="37" t="s">
        <v>21</v>
      </c>
      <c r="D23" s="37" t="s">
        <v>22</v>
      </c>
      <c r="E23" s="37" t="s">
        <v>23</v>
      </c>
      <c r="F23" s="37" t="s">
        <v>24</v>
      </c>
      <c r="G23" s="37" t="s">
        <v>25</v>
      </c>
      <c r="H23" s="37" t="s">
        <v>26</v>
      </c>
      <c r="I23" s="37" t="s">
        <v>27</v>
      </c>
      <c r="J23" s="37" t="s">
        <v>28</v>
      </c>
      <c r="K23" s="37" t="s">
        <v>29</v>
      </c>
      <c r="L23" s="37" t="s">
        <v>30</v>
      </c>
      <c r="M23" s="37" t="s">
        <v>31</v>
      </c>
      <c r="N23" s="23"/>
      <c r="O23" s="137">
        <v>6</v>
      </c>
      <c r="P23" s="137">
        <v>4</v>
      </c>
    </row>
    <row r="24" spans="2:16" ht="14" thickBot="1">
      <c r="B24" s="27" t="s">
        <v>32</v>
      </c>
      <c r="C24" s="20">
        <v>0</v>
      </c>
      <c r="D24" s="20">
        <v>0.5</v>
      </c>
      <c r="E24" s="20">
        <v>1</v>
      </c>
      <c r="F24" s="20">
        <v>2</v>
      </c>
      <c r="G24" s="20">
        <v>4</v>
      </c>
      <c r="H24" s="20">
        <v>5</v>
      </c>
      <c r="I24" s="20">
        <v>6</v>
      </c>
      <c r="J24" s="20">
        <v>7</v>
      </c>
      <c r="K24" s="20">
        <v>8</v>
      </c>
      <c r="L24" s="20">
        <v>9</v>
      </c>
      <c r="M24" s="20">
        <v>10</v>
      </c>
      <c r="N24" s="18"/>
      <c r="O24" s="138"/>
      <c r="P24" s="138"/>
    </row>
    <row r="25" spans="2:16">
      <c r="B25" s="8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6"/>
    </row>
    <row r="26" spans="2:16">
      <c r="B26" s="136" t="s">
        <v>33</v>
      </c>
      <c r="C26" s="147"/>
      <c r="D26" s="147"/>
      <c r="E26" s="147"/>
      <c r="F26" s="147"/>
      <c r="G26" s="147"/>
      <c r="H26" s="147"/>
      <c r="I26" s="147"/>
      <c r="J26" s="147"/>
      <c r="K26" s="14"/>
      <c r="L26" s="14"/>
      <c r="M26" s="14"/>
      <c r="N26" s="14"/>
      <c r="O26" s="29" t="s">
        <v>18</v>
      </c>
      <c r="P26" s="29" t="s">
        <v>19</v>
      </c>
    </row>
    <row r="27" spans="2:16" ht="6" customHeight="1" thickBot="1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</row>
    <row r="28" spans="2:16" ht="33.5" customHeight="1">
      <c r="B28" s="22" t="s">
        <v>34</v>
      </c>
      <c r="C28" s="121" t="s">
        <v>35</v>
      </c>
      <c r="D28" s="122"/>
      <c r="E28" s="121" t="s">
        <v>36</v>
      </c>
      <c r="F28" s="122"/>
      <c r="G28" s="121" t="s">
        <v>37</v>
      </c>
      <c r="H28" s="122"/>
      <c r="I28" s="26"/>
      <c r="J28" s="26"/>
      <c r="K28" s="15"/>
      <c r="L28" s="15"/>
      <c r="M28" s="15"/>
      <c r="N28" s="15"/>
      <c r="O28" s="137">
        <v>16</v>
      </c>
      <c r="P28" s="137">
        <v>8</v>
      </c>
    </row>
    <row r="29" spans="2:16" ht="14" thickBot="1">
      <c r="B29" s="27" t="s">
        <v>38</v>
      </c>
      <c r="C29" s="145" t="s">
        <v>39</v>
      </c>
      <c r="D29" s="146"/>
      <c r="E29" s="145" t="s">
        <v>40</v>
      </c>
      <c r="F29" s="146"/>
      <c r="G29" s="145" t="s">
        <v>41</v>
      </c>
      <c r="H29" s="146"/>
      <c r="I29" s="18"/>
      <c r="J29" s="18"/>
      <c r="K29" s="10"/>
      <c r="L29" s="10"/>
      <c r="M29" s="10"/>
      <c r="N29" s="10"/>
      <c r="O29" s="138"/>
      <c r="P29" s="138"/>
    </row>
    <row r="30" spans="2:16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2:16" ht="14" customHeight="1">
      <c r="B31" s="142" t="s">
        <v>42</v>
      </c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29" t="s">
        <v>18</v>
      </c>
      <c r="P31" s="29" t="s">
        <v>19</v>
      </c>
    </row>
    <row r="32" spans="2:16" ht="6" customHeight="1" thickBot="1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</row>
    <row r="33" spans="2:16" ht="30" customHeight="1">
      <c r="B33" s="22" t="s">
        <v>43</v>
      </c>
      <c r="C33" s="133" t="s">
        <v>44</v>
      </c>
      <c r="D33" s="133"/>
      <c r="E33" s="133" t="s">
        <v>45</v>
      </c>
      <c r="F33" s="133"/>
      <c r="G33" s="133" t="s">
        <v>46</v>
      </c>
      <c r="H33" s="133"/>
      <c r="I33" s="133" t="s">
        <v>47</v>
      </c>
      <c r="J33" s="133"/>
      <c r="K33" s="23"/>
      <c r="L33" s="139" t="s">
        <v>48</v>
      </c>
      <c r="M33" s="139"/>
      <c r="N33" s="23"/>
      <c r="O33" s="137">
        <v>11</v>
      </c>
      <c r="P33" s="137">
        <v>7.5</v>
      </c>
    </row>
    <row r="34" spans="2:16" ht="14" thickBot="1">
      <c r="B34" s="27" t="s">
        <v>49</v>
      </c>
      <c r="C34" s="145" t="s">
        <v>50</v>
      </c>
      <c r="D34" s="146"/>
      <c r="E34" s="145" t="s">
        <v>39</v>
      </c>
      <c r="F34" s="146"/>
      <c r="G34" s="145" t="s">
        <v>39</v>
      </c>
      <c r="H34" s="146"/>
      <c r="I34" s="145" t="s">
        <v>39</v>
      </c>
      <c r="J34" s="146"/>
      <c r="K34" s="24"/>
      <c r="L34" s="20">
        <v>1.5</v>
      </c>
      <c r="M34" s="20">
        <v>3</v>
      </c>
      <c r="N34" s="25"/>
      <c r="O34" s="138"/>
      <c r="P34" s="138"/>
    </row>
    <row r="35" spans="2:16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2:16">
      <c r="B36" s="142" t="s">
        <v>51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6"/>
    </row>
    <row r="37" spans="2:16" ht="6" customHeight="1" thickBot="1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6"/>
    </row>
    <row r="38" spans="2:16" ht="30" customHeight="1">
      <c r="B38" s="16" t="s">
        <v>52</v>
      </c>
      <c r="C38" s="133" t="s">
        <v>53</v>
      </c>
      <c r="D38" s="133"/>
      <c r="E38" s="134" t="s">
        <v>54</v>
      </c>
      <c r="F38" s="135"/>
      <c r="G38" s="6"/>
      <c r="H38" s="6"/>
      <c r="I38" s="6"/>
      <c r="J38" s="6"/>
      <c r="K38" s="6"/>
      <c r="L38" s="6"/>
      <c r="M38" s="6"/>
      <c r="N38" s="6"/>
      <c r="O38" s="123">
        <v>2</v>
      </c>
      <c r="P38" s="124"/>
    </row>
    <row r="39" spans="2:16" ht="14" thickBot="1">
      <c r="B39" s="28" t="s">
        <v>55</v>
      </c>
      <c r="C39" s="20">
        <v>2</v>
      </c>
      <c r="D39" s="20">
        <v>4</v>
      </c>
      <c r="E39" s="20">
        <v>1</v>
      </c>
      <c r="F39" s="20">
        <v>2</v>
      </c>
      <c r="G39" s="6"/>
      <c r="H39" s="6"/>
      <c r="I39" s="6"/>
      <c r="J39" s="6"/>
      <c r="K39" s="6"/>
      <c r="L39" s="6"/>
      <c r="M39" s="6"/>
      <c r="N39" s="6"/>
      <c r="O39" s="125"/>
      <c r="P39" s="126"/>
    </row>
    <row r="40" spans="2:16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2:16">
      <c r="B41" s="136" t="s">
        <v>56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9"/>
      <c r="P41" s="3"/>
    </row>
    <row r="42" spans="2:16" ht="6" customHeight="1" thickBot="1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</row>
    <row r="43" spans="2:16" s="2" customFormat="1" ht="28">
      <c r="B43" s="21" t="s">
        <v>57</v>
      </c>
      <c r="C43" s="37">
        <v>0</v>
      </c>
      <c r="D43" s="37">
        <v>1</v>
      </c>
      <c r="E43" s="37">
        <v>2</v>
      </c>
      <c r="F43" s="37">
        <v>3</v>
      </c>
      <c r="G43" s="37">
        <v>4</v>
      </c>
      <c r="H43" s="37">
        <v>5</v>
      </c>
      <c r="I43" s="37">
        <v>6</v>
      </c>
      <c r="J43" s="37">
        <v>7</v>
      </c>
      <c r="K43" s="37">
        <v>8</v>
      </c>
      <c r="L43" s="6"/>
      <c r="M43" s="6"/>
      <c r="N43" s="6"/>
      <c r="O43" s="123">
        <v>1.1200000000000001</v>
      </c>
      <c r="P43" s="124"/>
    </row>
    <row r="44" spans="2:16" s="2" customFormat="1" ht="14" thickBot="1">
      <c r="B44" s="27" t="s">
        <v>58</v>
      </c>
      <c r="C44" s="20">
        <v>1</v>
      </c>
      <c r="D44" s="20">
        <v>1.05</v>
      </c>
      <c r="E44" s="20">
        <v>1.1200000000000001</v>
      </c>
      <c r="F44" s="20">
        <v>1.2</v>
      </c>
      <c r="G44" s="20">
        <v>1.33</v>
      </c>
      <c r="H44" s="20">
        <v>1.48</v>
      </c>
      <c r="I44" s="20">
        <v>1.7</v>
      </c>
      <c r="J44" s="20">
        <v>2</v>
      </c>
      <c r="K44" s="20">
        <v>2.5</v>
      </c>
      <c r="L44" s="18"/>
      <c r="M44" s="18"/>
      <c r="N44" s="18"/>
      <c r="O44" s="125"/>
      <c r="P44" s="126"/>
    </row>
    <row r="45" spans="2:16" s="2" customFormat="1">
      <c r="B45" s="11"/>
      <c r="C45" s="12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6"/>
    </row>
    <row r="46" spans="2:16" s="2" customFormat="1">
      <c r="B46" s="136" t="s">
        <v>59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9"/>
    </row>
    <row r="47" spans="2:16" s="2" customFormat="1" ht="6" customHeight="1" thickBot="1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7"/>
    </row>
    <row r="48" spans="2:16" s="2" customFormat="1" ht="28">
      <c r="B48" s="19" t="s">
        <v>60</v>
      </c>
      <c r="C48" s="37" t="s">
        <v>61</v>
      </c>
      <c r="D48" s="37" t="s">
        <v>62</v>
      </c>
      <c r="E48" s="37" t="s">
        <v>63</v>
      </c>
      <c r="F48" s="37" t="s">
        <v>64</v>
      </c>
      <c r="G48" s="37" t="s">
        <v>65</v>
      </c>
      <c r="H48" s="37" t="s">
        <v>66</v>
      </c>
      <c r="I48" s="37" t="s">
        <v>67</v>
      </c>
      <c r="J48" s="37" t="s">
        <v>68</v>
      </c>
      <c r="K48" s="6"/>
      <c r="L48" s="6"/>
      <c r="M48" s="6"/>
      <c r="N48" s="6"/>
      <c r="O48" s="123">
        <v>0.85</v>
      </c>
      <c r="P48" s="124"/>
    </row>
    <row r="49" spans="2:16" s="2" customFormat="1" ht="14" thickBot="1">
      <c r="B49" s="28" t="s">
        <v>69</v>
      </c>
      <c r="C49" s="20">
        <v>0.5</v>
      </c>
      <c r="D49" s="20">
        <v>0.65</v>
      </c>
      <c r="E49" s="20">
        <v>0.75</v>
      </c>
      <c r="F49" s="20">
        <v>0.85</v>
      </c>
      <c r="G49" s="20">
        <v>0.92500000000000004</v>
      </c>
      <c r="H49" s="20">
        <v>0.95</v>
      </c>
      <c r="I49" s="20">
        <v>1</v>
      </c>
      <c r="J49" s="20">
        <v>1.5</v>
      </c>
      <c r="K49" s="18"/>
      <c r="L49" s="18"/>
      <c r="M49" s="18"/>
      <c r="N49" s="18"/>
      <c r="O49" s="125"/>
      <c r="P49" s="126"/>
    </row>
    <row r="50" spans="2:16" s="2" customFormat="1">
      <c r="B50" s="12"/>
      <c r="C50" s="10"/>
      <c r="D50" s="10"/>
      <c r="E50" s="10"/>
      <c r="F50" s="10"/>
      <c r="G50" s="10"/>
      <c r="H50" s="10"/>
      <c r="I50" s="10"/>
      <c r="J50" s="6"/>
      <c r="K50" s="6"/>
      <c r="L50" s="6"/>
      <c r="M50" s="6"/>
      <c r="N50" s="6"/>
      <c r="O50" s="6"/>
    </row>
    <row r="51" spans="2:16" s="2" customFormat="1" ht="14" thickBo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6" s="2" customFormat="1" ht="13.25" customHeight="1">
      <c r="C52" s="6"/>
      <c r="D52" s="6"/>
      <c r="E52" s="6"/>
      <c r="F52" s="6"/>
      <c r="G52" s="6"/>
      <c r="H52" s="6"/>
      <c r="I52" s="6"/>
      <c r="J52" s="127" t="s">
        <v>70</v>
      </c>
      <c r="K52" s="128"/>
      <c r="L52" s="128"/>
      <c r="M52" s="129"/>
      <c r="O52" s="117">
        <f>((O23+O28+O33+O38)*O43*O48)</f>
        <v>33.32</v>
      </c>
      <c r="P52" s="118"/>
    </row>
    <row r="53" spans="2:16" s="2" customFormat="1" ht="14" customHeight="1" thickBot="1">
      <c r="B53"/>
      <c r="C53"/>
      <c r="D53"/>
      <c r="E53"/>
      <c r="F53"/>
      <c r="G53"/>
      <c r="H53"/>
      <c r="I53"/>
      <c r="J53" s="130"/>
      <c r="K53" s="131"/>
      <c r="L53" s="131"/>
      <c r="M53" s="132"/>
      <c r="O53" s="119"/>
      <c r="P53" s="120"/>
    </row>
    <row r="54" spans="2:16" s="2" customFormat="1" ht="14" thickBot="1">
      <c r="B54" s="17"/>
      <c r="C54"/>
      <c r="D54"/>
      <c r="E54"/>
      <c r="F54"/>
      <c r="G54"/>
      <c r="H54"/>
      <c r="I54"/>
      <c r="J54"/>
      <c r="K54"/>
      <c r="L54"/>
      <c r="M54"/>
      <c r="N54"/>
      <c r="O54" s="17"/>
      <c r="P54" s="34"/>
    </row>
    <row r="55" spans="2:16" s="2" customFormat="1" ht="13.25" customHeight="1">
      <c r="B55"/>
      <c r="C55"/>
      <c r="D55"/>
      <c r="E55"/>
      <c r="F55"/>
      <c r="G55"/>
      <c r="H55"/>
      <c r="I55"/>
      <c r="J55" s="127" t="s">
        <v>71</v>
      </c>
      <c r="K55" s="128"/>
      <c r="L55" s="128"/>
      <c r="M55" s="129"/>
      <c r="O55" s="117">
        <f>((P23+P28+P33+O38)*O43*O48)</f>
        <v>20.468</v>
      </c>
      <c r="P55" s="118"/>
    </row>
    <row r="56" spans="2:16" s="2" customFormat="1" ht="14" customHeight="1" thickBot="1">
      <c r="B56"/>
      <c r="C56"/>
      <c r="D56"/>
      <c r="E56"/>
      <c r="F56"/>
      <c r="G56"/>
      <c r="H56"/>
      <c r="I56"/>
      <c r="J56" s="130"/>
      <c r="K56" s="131"/>
      <c r="L56" s="131"/>
      <c r="M56" s="132"/>
      <c r="O56" s="119"/>
      <c r="P56" s="120"/>
    </row>
  </sheetData>
  <mergeCells count="67">
    <mergeCell ref="B19:N19"/>
    <mergeCell ref="O19:P19"/>
    <mergeCell ref="B15:N15"/>
    <mergeCell ref="O15:P15"/>
    <mergeCell ref="B11:N11"/>
    <mergeCell ref="B13:N13"/>
    <mergeCell ref="O13:P13"/>
    <mergeCell ref="O14:P14"/>
    <mergeCell ref="O18:P18"/>
    <mergeCell ref="O33:O34"/>
    <mergeCell ref="O10:P10"/>
    <mergeCell ref="B10:N10"/>
    <mergeCell ref="B14:N14"/>
    <mergeCell ref="C34:D34"/>
    <mergeCell ref="O28:O29"/>
    <mergeCell ref="O23:O24"/>
    <mergeCell ref="P23:P24"/>
    <mergeCell ref="E29:F29"/>
    <mergeCell ref="G29:H29"/>
    <mergeCell ref="B21:N21"/>
    <mergeCell ref="B16:N16"/>
    <mergeCell ref="O16:P16"/>
    <mergeCell ref="B17:N17"/>
    <mergeCell ref="O17:P17"/>
    <mergeCell ref="O11:P11"/>
    <mergeCell ref="B1:P1"/>
    <mergeCell ref="O5:P5"/>
    <mergeCell ref="O7:P7"/>
    <mergeCell ref="O8:P8"/>
    <mergeCell ref="B9:N9"/>
    <mergeCell ref="O9:P9"/>
    <mergeCell ref="B3:I3"/>
    <mergeCell ref="B6:N6"/>
    <mergeCell ref="O6:P6"/>
    <mergeCell ref="O3:P3"/>
    <mergeCell ref="B46:N46"/>
    <mergeCell ref="J55:M56"/>
    <mergeCell ref="B8:N8"/>
    <mergeCell ref="B7:N7"/>
    <mergeCell ref="B5:N5"/>
    <mergeCell ref="B31:N31"/>
    <mergeCell ref="B18:N18"/>
    <mergeCell ref="E34:F34"/>
    <mergeCell ref="G34:H34"/>
    <mergeCell ref="I34:J34"/>
    <mergeCell ref="B26:J26"/>
    <mergeCell ref="C33:D33"/>
    <mergeCell ref="C38:D38"/>
    <mergeCell ref="B36:N36"/>
    <mergeCell ref="G28:H28"/>
    <mergeCell ref="C29:D29"/>
    <mergeCell ref="O55:P56"/>
    <mergeCell ref="E28:F28"/>
    <mergeCell ref="O52:P53"/>
    <mergeCell ref="O38:P39"/>
    <mergeCell ref="J52:M53"/>
    <mergeCell ref="G33:H33"/>
    <mergeCell ref="O48:P49"/>
    <mergeCell ref="E38:F38"/>
    <mergeCell ref="B41:N41"/>
    <mergeCell ref="P28:P29"/>
    <mergeCell ref="P33:P34"/>
    <mergeCell ref="E33:F33"/>
    <mergeCell ref="C28:D28"/>
    <mergeCell ref="I33:J33"/>
    <mergeCell ref="L33:M33"/>
    <mergeCell ref="O43:P4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56"/>
  <sheetViews>
    <sheetView showGridLines="0" zoomScale="60" zoomScaleNormal="60" workbookViewId="0">
      <selection activeCell="S50" sqref="S50"/>
    </sheetView>
  </sheetViews>
  <sheetFormatPr baseColWidth="10" defaultColWidth="8.6640625" defaultRowHeight="13"/>
  <cols>
    <col min="2" max="2" width="20.6640625" customWidth="1"/>
    <col min="3" max="13" width="6.6640625" customWidth="1"/>
    <col min="14" max="14" width="5.33203125" customWidth="1"/>
    <col min="15" max="15" width="6.6640625" customWidth="1"/>
    <col min="16" max="16" width="6.33203125" style="2" customWidth="1"/>
  </cols>
  <sheetData>
    <row r="1" spans="2:16" s="1" customFormat="1" ht="18">
      <c r="B1" s="148" t="s">
        <v>0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</row>
    <row r="2" spans="2:16" s="1" customFormat="1" ht="9.75" customHeight="1" thickBot="1">
      <c r="B2" s="3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</row>
    <row r="3" spans="2:16" s="1" customFormat="1" ht="19" thickBot="1">
      <c r="B3" s="151" t="s">
        <v>1</v>
      </c>
      <c r="C3" s="152"/>
      <c r="D3" s="152"/>
      <c r="E3" s="152"/>
      <c r="F3" s="152"/>
      <c r="G3" s="152"/>
      <c r="H3" s="152"/>
      <c r="I3" s="152"/>
      <c r="J3" s="13"/>
      <c r="K3" s="13"/>
      <c r="L3" s="13"/>
      <c r="M3" s="30" t="s">
        <v>2</v>
      </c>
      <c r="N3" s="31"/>
      <c r="O3" s="153">
        <v>1</v>
      </c>
      <c r="P3" s="154"/>
    </row>
    <row r="4" spans="2:16" ht="14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6" ht="14" thickBot="1">
      <c r="B5" s="140" t="s">
        <v>3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9"/>
      <c r="P5" s="150"/>
    </row>
    <row r="6" spans="2:16" ht="14" thickBot="1">
      <c r="B6" s="140" t="s">
        <v>4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9"/>
      <c r="P6" s="150"/>
    </row>
    <row r="7" spans="2:16" ht="14" thickBot="1">
      <c r="B7" s="140" t="s">
        <v>5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9"/>
      <c r="P7" s="150"/>
    </row>
    <row r="8" spans="2:16" ht="14" thickBot="1">
      <c r="B8" s="140" t="s">
        <v>6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9"/>
      <c r="P8" s="150"/>
    </row>
    <row r="9" spans="2:16" ht="14" thickBot="1">
      <c r="B9" s="140" t="s">
        <v>7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9"/>
      <c r="P9" s="150"/>
    </row>
    <row r="10" spans="2:16" ht="14" thickBot="1">
      <c r="B10" s="155" t="s">
        <v>8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40"/>
      <c r="O10" s="149"/>
      <c r="P10" s="150"/>
    </row>
    <row r="11" spans="2:16" ht="27.5" customHeight="1" thickBot="1">
      <c r="B11" s="160" t="s">
        <v>9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49"/>
      <c r="P11" s="150"/>
    </row>
    <row r="12" spans="2:16" ht="14" thickBot="1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2:16" ht="14" thickBot="1">
      <c r="B13" s="140" t="s">
        <v>10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9"/>
      <c r="P13" s="150"/>
    </row>
    <row r="14" spans="2:16" ht="14" thickBot="1">
      <c r="B14" s="140" t="s">
        <v>11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9"/>
      <c r="P14" s="150"/>
    </row>
    <row r="15" spans="2:16" ht="14" thickBot="1">
      <c r="B15" s="140" t="s">
        <v>12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9"/>
      <c r="P15" s="150"/>
    </row>
    <row r="16" spans="2:16" ht="14" thickBot="1">
      <c r="B16" s="140" t="s">
        <v>13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9"/>
      <c r="P16" s="150"/>
    </row>
    <row r="17" spans="2:16" ht="17" thickBot="1">
      <c r="B17" s="143" t="s">
        <v>14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56">
        <f>O6-O7-O10-O9</f>
        <v>0</v>
      </c>
      <c r="P17" s="157"/>
    </row>
    <row r="18" spans="2:16" ht="17" thickBot="1">
      <c r="B18" s="143" t="s">
        <v>15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62" t="e">
        <f>O17*60/O13</f>
        <v>#DIV/0!</v>
      </c>
      <c r="P18" s="163"/>
    </row>
    <row r="19" spans="2:16" ht="17" thickBot="1">
      <c r="B19" s="143" t="s">
        <v>16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58" t="e">
        <f>(O18-O14)/O18</f>
        <v>#DIV/0!</v>
      </c>
      <c r="P19" s="159"/>
    </row>
    <row r="20" spans="2:16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33"/>
    </row>
    <row r="21" spans="2:16" ht="13.25" customHeight="1">
      <c r="B21" s="142" t="s">
        <v>17</v>
      </c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29" t="s">
        <v>18</v>
      </c>
      <c r="P21" s="29" t="s">
        <v>19</v>
      </c>
    </row>
    <row r="22" spans="2:16" ht="6" customHeight="1" thickBot="1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</row>
    <row r="23" spans="2:16" ht="30" customHeight="1">
      <c r="B23" s="22" t="s">
        <v>20</v>
      </c>
      <c r="C23" s="37" t="s">
        <v>21</v>
      </c>
      <c r="D23" s="37" t="s">
        <v>22</v>
      </c>
      <c r="E23" s="37" t="s">
        <v>23</v>
      </c>
      <c r="F23" s="37" t="s">
        <v>24</v>
      </c>
      <c r="G23" s="37" t="s">
        <v>25</v>
      </c>
      <c r="H23" s="37" t="s">
        <v>26</v>
      </c>
      <c r="I23" s="37" t="s">
        <v>27</v>
      </c>
      <c r="J23" s="37" t="s">
        <v>28</v>
      </c>
      <c r="K23" s="37" t="s">
        <v>29</v>
      </c>
      <c r="L23" s="37" t="s">
        <v>30</v>
      </c>
      <c r="M23" s="37" t="s">
        <v>31</v>
      </c>
      <c r="N23" s="23"/>
      <c r="O23" s="137"/>
      <c r="P23" s="137"/>
    </row>
    <row r="24" spans="2:16" ht="14" thickBot="1">
      <c r="B24" s="27" t="s">
        <v>32</v>
      </c>
      <c r="C24" s="20">
        <v>0</v>
      </c>
      <c r="D24" s="20">
        <v>0.5</v>
      </c>
      <c r="E24" s="20">
        <v>1</v>
      </c>
      <c r="F24" s="20">
        <v>2</v>
      </c>
      <c r="G24" s="20">
        <v>4</v>
      </c>
      <c r="H24" s="20">
        <v>5</v>
      </c>
      <c r="I24" s="20">
        <v>6</v>
      </c>
      <c r="J24" s="20">
        <v>7</v>
      </c>
      <c r="K24" s="20">
        <v>8</v>
      </c>
      <c r="L24" s="20">
        <v>9</v>
      </c>
      <c r="M24" s="20">
        <v>10</v>
      </c>
      <c r="N24" s="18"/>
      <c r="O24" s="138"/>
      <c r="P24" s="138"/>
    </row>
    <row r="25" spans="2:16">
      <c r="B25" s="8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6"/>
    </row>
    <row r="26" spans="2:16">
      <c r="B26" s="136" t="s">
        <v>33</v>
      </c>
      <c r="C26" s="147"/>
      <c r="D26" s="147"/>
      <c r="E26" s="147"/>
      <c r="F26" s="147"/>
      <c r="G26" s="147"/>
      <c r="H26" s="147"/>
      <c r="I26" s="147"/>
      <c r="J26" s="147"/>
      <c r="K26" s="14"/>
      <c r="L26" s="14"/>
      <c r="M26" s="14"/>
      <c r="N26" s="14"/>
      <c r="O26" s="29" t="s">
        <v>18</v>
      </c>
      <c r="P26" s="29" t="s">
        <v>19</v>
      </c>
    </row>
    <row r="27" spans="2:16" ht="6" customHeight="1" thickBot="1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</row>
    <row r="28" spans="2:16" ht="33.5" customHeight="1">
      <c r="B28" s="22" t="s">
        <v>34</v>
      </c>
      <c r="C28" s="121" t="s">
        <v>35</v>
      </c>
      <c r="D28" s="122"/>
      <c r="E28" s="121" t="s">
        <v>36</v>
      </c>
      <c r="F28" s="122"/>
      <c r="G28" s="121" t="s">
        <v>37</v>
      </c>
      <c r="H28" s="122"/>
      <c r="I28" s="26"/>
      <c r="J28" s="26"/>
      <c r="K28" s="15"/>
      <c r="L28" s="15"/>
      <c r="M28" s="15"/>
      <c r="N28" s="15"/>
      <c r="O28" s="137"/>
      <c r="P28" s="137"/>
    </row>
    <row r="29" spans="2:16" ht="14" thickBot="1">
      <c r="B29" s="27" t="s">
        <v>38</v>
      </c>
      <c r="C29" s="145" t="s">
        <v>39</v>
      </c>
      <c r="D29" s="146"/>
      <c r="E29" s="145" t="s">
        <v>40</v>
      </c>
      <c r="F29" s="146"/>
      <c r="G29" s="145" t="s">
        <v>41</v>
      </c>
      <c r="H29" s="146"/>
      <c r="I29" s="18"/>
      <c r="J29" s="18"/>
      <c r="K29" s="10"/>
      <c r="L29" s="10"/>
      <c r="M29" s="10"/>
      <c r="N29" s="10"/>
      <c r="O29" s="138"/>
      <c r="P29" s="138"/>
    </row>
    <row r="30" spans="2:16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2:16" ht="14" customHeight="1">
      <c r="B31" s="142" t="s">
        <v>42</v>
      </c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29" t="s">
        <v>18</v>
      </c>
      <c r="P31" s="29" t="s">
        <v>19</v>
      </c>
    </row>
    <row r="32" spans="2:16" ht="6" customHeight="1" thickBot="1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</row>
    <row r="33" spans="2:16" ht="30" customHeight="1">
      <c r="B33" s="22" t="s">
        <v>43</v>
      </c>
      <c r="C33" s="133" t="s">
        <v>44</v>
      </c>
      <c r="D33" s="133"/>
      <c r="E33" s="133" t="s">
        <v>45</v>
      </c>
      <c r="F33" s="133"/>
      <c r="G33" s="133" t="s">
        <v>46</v>
      </c>
      <c r="H33" s="133"/>
      <c r="I33" s="133" t="s">
        <v>47</v>
      </c>
      <c r="J33" s="133"/>
      <c r="K33" s="23"/>
      <c r="L33" s="139" t="s">
        <v>48</v>
      </c>
      <c r="M33" s="139"/>
      <c r="N33" s="23"/>
      <c r="O33" s="137"/>
      <c r="P33" s="137"/>
    </row>
    <row r="34" spans="2:16" ht="14" thickBot="1">
      <c r="B34" s="27" t="s">
        <v>49</v>
      </c>
      <c r="C34" s="145" t="s">
        <v>50</v>
      </c>
      <c r="D34" s="146"/>
      <c r="E34" s="145" t="s">
        <v>39</v>
      </c>
      <c r="F34" s="146"/>
      <c r="G34" s="145" t="s">
        <v>39</v>
      </c>
      <c r="H34" s="146"/>
      <c r="I34" s="145" t="s">
        <v>39</v>
      </c>
      <c r="J34" s="146"/>
      <c r="K34" s="24"/>
      <c r="L34" s="20">
        <v>1.5</v>
      </c>
      <c r="M34" s="20">
        <v>3</v>
      </c>
      <c r="N34" s="25"/>
      <c r="O34" s="138"/>
      <c r="P34" s="138"/>
    </row>
    <row r="35" spans="2:16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2:16">
      <c r="B36" s="142" t="s">
        <v>51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6"/>
    </row>
    <row r="37" spans="2:16" ht="6" customHeight="1" thickBot="1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6"/>
    </row>
    <row r="38" spans="2:16" ht="30" customHeight="1">
      <c r="B38" s="16" t="s">
        <v>52</v>
      </c>
      <c r="C38" s="133" t="s">
        <v>53</v>
      </c>
      <c r="D38" s="133"/>
      <c r="E38" s="134" t="s">
        <v>54</v>
      </c>
      <c r="F38" s="135"/>
      <c r="G38" s="6"/>
      <c r="H38" s="6"/>
      <c r="I38" s="6"/>
      <c r="J38" s="6"/>
      <c r="K38" s="6"/>
      <c r="L38" s="6"/>
      <c r="M38" s="6"/>
      <c r="N38" s="6"/>
      <c r="O38" s="123"/>
      <c r="P38" s="124"/>
    </row>
    <row r="39" spans="2:16" ht="14" thickBot="1">
      <c r="B39" s="28" t="s">
        <v>55</v>
      </c>
      <c r="C39" s="20">
        <v>2</v>
      </c>
      <c r="D39" s="20">
        <v>4</v>
      </c>
      <c r="E39" s="20">
        <v>1</v>
      </c>
      <c r="F39" s="20">
        <v>2</v>
      </c>
      <c r="G39" s="6"/>
      <c r="H39" s="6"/>
      <c r="I39" s="6"/>
      <c r="J39" s="6"/>
      <c r="K39" s="6"/>
      <c r="L39" s="6"/>
      <c r="M39" s="6"/>
      <c r="N39" s="6"/>
      <c r="O39" s="125"/>
      <c r="P39" s="126"/>
    </row>
    <row r="40" spans="2:16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2:16">
      <c r="B41" s="136" t="s">
        <v>56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9"/>
      <c r="P41" s="3"/>
    </row>
    <row r="42" spans="2:16" ht="6" customHeight="1" thickBot="1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</row>
    <row r="43" spans="2:16" s="2" customFormat="1" ht="28">
      <c r="B43" s="21" t="s">
        <v>57</v>
      </c>
      <c r="C43" s="37">
        <v>0</v>
      </c>
      <c r="D43" s="37">
        <v>1</v>
      </c>
      <c r="E43" s="37">
        <v>2</v>
      </c>
      <c r="F43" s="37">
        <v>3</v>
      </c>
      <c r="G43" s="37">
        <v>4</v>
      </c>
      <c r="H43" s="37">
        <v>5</v>
      </c>
      <c r="I43" s="37">
        <v>6</v>
      </c>
      <c r="J43" s="37">
        <v>7</v>
      </c>
      <c r="K43" s="37">
        <v>8</v>
      </c>
      <c r="L43" s="6"/>
      <c r="M43" s="6"/>
      <c r="N43" s="6"/>
      <c r="O43" s="123"/>
      <c r="P43" s="124"/>
    </row>
    <row r="44" spans="2:16" s="2" customFormat="1" ht="14" thickBot="1">
      <c r="B44" s="27" t="s">
        <v>58</v>
      </c>
      <c r="C44" s="20">
        <v>1</v>
      </c>
      <c r="D44" s="20">
        <v>1.05</v>
      </c>
      <c r="E44" s="20">
        <v>1.1200000000000001</v>
      </c>
      <c r="F44" s="20">
        <v>1.2</v>
      </c>
      <c r="G44" s="20">
        <v>1.33</v>
      </c>
      <c r="H44" s="20">
        <v>1.48</v>
      </c>
      <c r="I44" s="20">
        <v>1.7</v>
      </c>
      <c r="J44" s="20">
        <v>2</v>
      </c>
      <c r="K44" s="20">
        <v>2.5</v>
      </c>
      <c r="L44" s="18"/>
      <c r="M44" s="18"/>
      <c r="N44" s="18"/>
      <c r="O44" s="125"/>
      <c r="P44" s="126"/>
    </row>
    <row r="45" spans="2:16" s="2" customFormat="1">
      <c r="B45" s="11"/>
      <c r="C45" s="12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6"/>
    </row>
    <row r="46" spans="2:16" s="2" customFormat="1">
      <c r="B46" s="136" t="s">
        <v>59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9"/>
    </row>
    <row r="47" spans="2:16" s="2" customFormat="1" ht="6" customHeight="1" thickBot="1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7"/>
    </row>
    <row r="48" spans="2:16" s="2" customFormat="1" ht="28">
      <c r="B48" s="19" t="s">
        <v>60</v>
      </c>
      <c r="C48" s="37" t="s">
        <v>61</v>
      </c>
      <c r="D48" s="37" t="s">
        <v>62</v>
      </c>
      <c r="E48" s="37" t="s">
        <v>63</v>
      </c>
      <c r="F48" s="37" t="s">
        <v>64</v>
      </c>
      <c r="G48" s="37" t="s">
        <v>65</v>
      </c>
      <c r="H48" s="37" t="s">
        <v>66</v>
      </c>
      <c r="I48" s="37" t="s">
        <v>67</v>
      </c>
      <c r="J48" s="37" t="s">
        <v>68</v>
      </c>
      <c r="K48" s="6"/>
      <c r="L48" s="6"/>
      <c r="M48" s="6"/>
      <c r="N48" s="6"/>
      <c r="O48" s="123"/>
      <c r="P48" s="124"/>
    </row>
    <row r="49" spans="2:16" s="2" customFormat="1" ht="14" thickBot="1">
      <c r="B49" s="28" t="s">
        <v>69</v>
      </c>
      <c r="C49" s="20">
        <v>0.5</v>
      </c>
      <c r="D49" s="20">
        <v>0.65</v>
      </c>
      <c r="E49" s="20">
        <v>0.75</v>
      </c>
      <c r="F49" s="20">
        <v>0.85</v>
      </c>
      <c r="G49" s="20">
        <v>0.92500000000000004</v>
      </c>
      <c r="H49" s="20">
        <v>0.95</v>
      </c>
      <c r="I49" s="20">
        <v>1</v>
      </c>
      <c r="J49" s="20">
        <v>1.5</v>
      </c>
      <c r="K49" s="18"/>
      <c r="L49" s="18"/>
      <c r="M49" s="18"/>
      <c r="N49" s="18"/>
      <c r="O49" s="125"/>
      <c r="P49" s="126"/>
    </row>
    <row r="50" spans="2:16" s="2" customFormat="1">
      <c r="B50" s="12"/>
      <c r="C50" s="10"/>
      <c r="D50" s="10"/>
      <c r="E50" s="10"/>
      <c r="F50" s="10"/>
      <c r="G50" s="10"/>
      <c r="H50" s="10"/>
      <c r="I50" s="10"/>
      <c r="J50" s="6"/>
      <c r="K50" s="6"/>
      <c r="L50" s="6"/>
      <c r="M50" s="6"/>
      <c r="N50" s="6"/>
      <c r="O50" s="6"/>
    </row>
    <row r="51" spans="2:16" s="2" customFormat="1" ht="14" thickBo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6" s="2" customFormat="1" ht="13.25" customHeight="1">
      <c r="C52" s="6"/>
      <c r="D52" s="6"/>
      <c r="E52" s="6"/>
      <c r="F52" s="6"/>
      <c r="G52" s="6"/>
      <c r="H52" s="6"/>
      <c r="I52" s="6"/>
      <c r="J52" s="127" t="s">
        <v>70</v>
      </c>
      <c r="K52" s="128"/>
      <c r="L52" s="128"/>
      <c r="M52" s="129"/>
      <c r="O52" s="117">
        <f>((O23+O28+O33+O38)*O43*O48)</f>
        <v>0</v>
      </c>
      <c r="P52" s="118"/>
    </row>
    <row r="53" spans="2:16" s="2" customFormat="1" ht="14" customHeight="1" thickBot="1">
      <c r="B53"/>
      <c r="C53"/>
      <c r="D53"/>
      <c r="E53"/>
      <c r="F53"/>
      <c r="G53"/>
      <c r="H53"/>
      <c r="I53"/>
      <c r="J53" s="130"/>
      <c r="K53" s="131"/>
      <c r="L53" s="131"/>
      <c r="M53" s="132"/>
      <c r="O53" s="119"/>
      <c r="P53" s="120"/>
    </row>
    <row r="54" spans="2:16" s="2" customFormat="1" ht="14" thickBot="1">
      <c r="B54" s="17"/>
      <c r="C54"/>
      <c r="D54"/>
      <c r="E54"/>
      <c r="F54"/>
      <c r="G54"/>
      <c r="H54"/>
      <c r="I54"/>
      <c r="J54"/>
      <c r="K54"/>
      <c r="L54"/>
      <c r="M54"/>
      <c r="N54"/>
      <c r="O54" s="17"/>
      <c r="P54" s="34"/>
    </row>
    <row r="55" spans="2:16" s="2" customFormat="1" ht="13.25" customHeight="1">
      <c r="B55"/>
      <c r="C55"/>
      <c r="D55"/>
      <c r="E55"/>
      <c r="F55"/>
      <c r="G55"/>
      <c r="H55"/>
      <c r="I55"/>
      <c r="J55" s="127" t="s">
        <v>71</v>
      </c>
      <c r="K55" s="128"/>
      <c r="L55" s="128"/>
      <c r="M55" s="129"/>
      <c r="O55" s="117">
        <f>((P23+P28+P33+O38)*O43*O48)</f>
        <v>0</v>
      </c>
      <c r="P55" s="118"/>
    </row>
    <row r="56" spans="2:16" s="2" customFormat="1" ht="14" customHeight="1" thickBot="1">
      <c r="B56"/>
      <c r="C56"/>
      <c r="D56"/>
      <c r="E56"/>
      <c r="F56"/>
      <c r="G56"/>
      <c r="H56"/>
      <c r="I56"/>
      <c r="J56" s="130"/>
      <c r="K56" s="131"/>
      <c r="L56" s="131"/>
      <c r="M56" s="132"/>
      <c r="O56" s="119"/>
      <c r="P56" s="120"/>
    </row>
  </sheetData>
  <mergeCells count="67">
    <mergeCell ref="B1:P1"/>
    <mergeCell ref="B3:I3"/>
    <mergeCell ref="O3:P3"/>
    <mergeCell ref="B5:N5"/>
    <mergeCell ref="O5:P5"/>
    <mergeCell ref="B6:N6"/>
    <mergeCell ref="O6:P6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O33:O34"/>
    <mergeCell ref="P33:P34"/>
    <mergeCell ref="C34:D34"/>
    <mergeCell ref="E34:F34"/>
    <mergeCell ref="G34:H34"/>
    <mergeCell ref="I34:J34"/>
    <mergeCell ref="C33:D33"/>
    <mergeCell ref="E33:F33"/>
    <mergeCell ref="G33:H33"/>
    <mergeCell ref="I33:J33"/>
    <mergeCell ref="L33:M33"/>
    <mergeCell ref="B36:N36"/>
    <mergeCell ref="C38:D38"/>
    <mergeCell ref="E38:F38"/>
    <mergeCell ref="O38:P39"/>
    <mergeCell ref="B41:N41"/>
    <mergeCell ref="J55:M56"/>
    <mergeCell ref="O55:P56"/>
    <mergeCell ref="O43:P44"/>
    <mergeCell ref="B46:N46"/>
    <mergeCell ref="O48:P49"/>
    <mergeCell ref="J52:M53"/>
    <mergeCell ref="O52:P53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56"/>
  <sheetViews>
    <sheetView showGridLines="0" tabSelected="1" zoomScaleNormal="100" workbookViewId="0">
      <selection activeCell="B1" sqref="B1:P56"/>
    </sheetView>
  </sheetViews>
  <sheetFormatPr baseColWidth="10" defaultColWidth="8.6640625" defaultRowHeight="13"/>
  <cols>
    <col min="2" max="2" width="20.6640625" customWidth="1"/>
    <col min="3" max="13" width="6.6640625" customWidth="1"/>
    <col min="14" max="14" width="5.33203125" customWidth="1"/>
    <col min="15" max="15" width="6.6640625" customWidth="1"/>
    <col min="16" max="16" width="6.33203125" style="2" customWidth="1"/>
  </cols>
  <sheetData>
    <row r="1" spans="2:16" s="1" customFormat="1" ht="19">
      <c r="B1" s="112" t="s">
        <v>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2:16" s="1" customFormat="1" ht="9.75" customHeight="1" thickBot="1"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</row>
    <row r="3" spans="2:16" s="1" customFormat="1" ht="20" thickBot="1">
      <c r="B3" s="113" t="s">
        <v>1</v>
      </c>
      <c r="C3" s="114"/>
      <c r="D3" s="114"/>
      <c r="E3" s="114"/>
      <c r="F3" s="114"/>
      <c r="G3" s="114"/>
      <c r="H3" s="114"/>
      <c r="I3" s="114"/>
      <c r="J3" s="41"/>
      <c r="K3" s="41"/>
      <c r="L3" s="41"/>
      <c r="M3" s="42" t="s">
        <v>2</v>
      </c>
      <c r="N3" s="43"/>
      <c r="O3" s="115">
        <v>2</v>
      </c>
      <c r="P3" s="116"/>
    </row>
    <row r="4" spans="2:16" ht="15" thickBot="1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</row>
    <row r="5" spans="2:16" ht="15" thickBot="1">
      <c r="B5" s="101" t="s">
        <v>3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3">
        <v>480</v>
      </c>
      <c r="P5" s="104"/>
    </row>
    <row r="6" spans="2:16" ht="15" thickBot="1">
      <c r="B6" s="101" t="s">
        <v>72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3">
        <v>460</v>
      </c>
      <c r="P6" s="104"/>
    </row>
    <row r="7" spans="2:16" ht="15" thickBot="1">
      <c r="B7" s="101" t="s">
        <v>73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3">
        <v>120</v>
      </c>
      <c r="P7" s="104"/>
    </row>
    <row r="8" spans="2:16" ht="15" thickBot="1">
      <c r="B8" s="101" t="s">
        <v>6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3">
        <v>2</v>
      </c>
      <c r="P8" s="104"/>
    </row>
    <row r="9" spans="2:16" ht="15" thickBot="1">
      <c r="B9" s="101" t="s">
        <v>74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3">
        <v>20</v>
      </c>
      <c r="P9" s="104"/>
    </row>
    <row r="10" spans="2:16" ht="15" thickBot="1">
      <c r="B10" s="109" t="s">
        <v>75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1"/>
      <c r="O10" s="103"/>
      <c r="P10" s="104"/>
    </row>
    <row r="11" spans="2:16" ht="27.5" customHeight="1" thickBot="1">
      <c r="B11" s="110" t="s">
        <v>9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03">
        <v>1</v>
      </c>
      <c r="P11" s="104"/>
    </row>
    <row r="12" spans="2:16" ht="15" thickBot="1"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5"/>
    </row>
    <row r="13" spans="2:16" ht="15" thickBot="1">
      <c r="B13" s="101" t="s">
        <v>76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3"/>
      <c r="P13" s="104"/>
    </row>
    <row r="14" spans="2:16" ht="15" thickBot="1">
      <c r="B14" s="101" t="s">
        <v>77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3"/>
      <c r="P14" s="104"/>
    </row>
    <row r="15" spans="2:16" ht="15" thickBot="1">
      <c r="B15" s="101" t="s">
        <v>12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3"/>
      <c r="P15" s="104"/>
    </row>
    <row r="16" spans="2:16" ht="15" thickBot="1">
      <c r="B16" s="101" t="s">
        <v>13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3"/>
      <c r="P16" s="104"/>
    </row>
    <row r="17" spans="2:16" ht="17" thickBot="1">
      <c r="B17" s="97" t="s">
        <v>78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105">
        <v>325</v>
      </c>
      <c r="P17" s="106"/>
    </row>
    <row r="18" spans="2:16" ht="17" thickBot="1">
      <c r="B18" s="97" t="s">
        <v>15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107"/>
      <c r="P18" s="108"/>
    </row>
    <row r="19" spans="2:16" ht="17" thickBot="1">
      <c r="B19" s="97" t="s">
        <v>16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9"/>
      <c r="P19" s="100"/>
    </row>
    <row r="20" spans="2:16" ht="14"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47"/>
    </row>
    <row r="21" spans="2:16" ht="13.25" customHeight="1">
      <c r="B21" s="85" t="s">
        <v>17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49" t="s">
        <v>18</v>
      </c>
      <c r="P21" s="49" t="s">
        <v>19</v>
      </c>
    </row>
    <row r="22" spans="2:16" ht="6" customHeight="1" thickBot="1"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50"/>
      <c r="P22" s="45"/>
    </row>
    <row r="23" spans="2:16" ht="30" customHeight="1">
      <c r="B23" s="51" t="s">
        <v>20</v>
      </c>
      <c r="C23" s="52" t="s">
        <v>79</v>
      </c>
      <c r="D23" s="52" t="s">
        <v>22</v>
      </c>
      <c r="E23" s="52" t="s">
        <v>23</v>
      </c>
      <c r="F23" s="52" t="s">
        <v>24</v>
      </c>
      <c r="G23" s="52" t="s">
        <v>25</v>
      </c>
      <c r="H23" s="52" t="s">
        <v>26</v>
      </c>
      <c r="I23" s="52" t="s">
        <v>27</v>
      </c>
      <c r="J23" s="52" t="s">
        <v>28</v>
      </c>
      <c r="K23" s="52" t="s">
        <v>29</v>
      </c>
      <c r="L23" s="52" t="s">
        <v>30</v>
      </c>
      <c r="M23" s="52" t="s">
        <v>80</v>
      </c>
      <c r="N23" s="53"/>
      <c r="O23" s="89">
        <v>2</v>
      </c>
      <c r="P23" s="89">
        <v>2</v>
      </c>
    </row>
    <row r="24" spans="2:16" ht="15" thickBot="1">
      <c r="B24" s="54" t="s">
        <v>32</v>
      </c>
      <c r="C24" s="55">
        <v>0</v>
      </c>
      <c r="D24" s="55">
        <v>0.5</v>
      </c>
      <c r="E24" s="55">
        <v>1</v>
      </c>
      <c r="F24" s="55">
        <v>2</v>
      </c>
      <c r="G24" s="55">
        <v>4</v>
      </c>
      <c r="H24" s="55">
        <v>5</v>
      </c>
      <c r="I24" s="55">
        <v>6</v>
      </c>
      <c r="J24" s="55">
        <v>7</v>
      </c>
      <c r="K24" s="55">
        <v>8</v>
      </c>
      <c r="L24" s="55">
        <v>9</v>
      </c>
      <c r="M24" s="55">
        <v>10</v>
      </c>
      <c r="N24" s="56"/>
      <c r="O24" s="90"/>
      <c r="P24" s="90"/>
    </row>
    <row r="25" spans="2:16" ht="14">
      <c r="B25" s="57"/>
      <c r="C25" s="5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44"/>
      <c r="P25" s="45"/>
    </row>
    <row r="26" spans="2:16" ht="14">
      <c r="B26" s="84" t="s">
        <v>33</v>
      </c>
      <c r="C26" s="94"/>
      <c r="D26" s="94"/>
      <c r="E26" s="94"/>
      <c r="F26" s="94"/>
      <c r="G26" s="94"/>
      <c r="H26" s="94"/>
      <c r="I26" s="94"/>
      <c r="J26" s="94"/>
      <c r="K26" s="59"/>
      <c r="L26" s="59"/>
      <c r="M26" s="59"/>
      <c r="N26" s="59"/>
      <c r="O26" s="49" t="s">
        <v>18</v>
      </c>
      <c r="P26" s="49" t="s">
        <v>19</v>
      </c>
    </row>
    <row r="27" spans="2:16" ht="6" customHeight="1" thickBot="1"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50"/>
      <c r="P27" s="45"/>
    </row>
    <row r="28" spans="2:16" ht="33.5" customHeight="1">
      <c r="B28" s="51" t="s">
        <v>34</v>
      </c>
      <c r="C28" s="95" t="s">
        <v>35</v>
      </c>
      <c r="D28" s="96"/>
      <c r="E28" s="95" t="s">
        <v>36</v>
      </c>
      <c r="F28" s="96"/>
      <c r="G28" s="95" t="s">
        <v>37</v>
      </c>
      <c r="H28" s="96"/>
      <c r="I28" s="60"/>
      <c r="J28" s="60"/>
      <c r="K28" s="61"/>
      <c r="L28" s="61"/>
      <c r="M28" s="61"/>
      <c r="N28" s="61"/>
      <c r="O28" s="89">
        <v>2</v>
      </c>
      <c r="P28" s="89">
        <v>2</v>
      </c>
    </row>
    <row r="29" spans="2:16" ht="15" thickBot="1">
      <c r="B29" s="54" t="s">
        <v>38</v>
      </c>
      <c r="C29" s="91" t="s">
        <v>39</v>
      </c>
      <c r="D29" s="92"/>
      <c r="E29" s="91" t="s">
        <v>40</v>
      </c>
      <c r="F29" s="92"/>
      <c r="G29" s="91" t="s">
        <v>41</v>
      </c>
      <c r="H29" s="92"/>
      <c r="I29" s="56"/>
      <c r="J29" s="56"/>
      <c r="K29" s="58"/>
      <c r="L29" s="58"/>
      <c r="M29" s="58"/>
      <c r="N29" s="58"/>
      <c r="O29" s="90"/>
      <c r="P29" s="90"/>
    </row>
    <row r="30" spans="2:16" ht="14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5"/>
    </row>
    <row r="31" spans="2:16" ht="14" customHeight="1">
      <c r="B31" s="85" t="s">
        <v>42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49" t="s">
        <v>18</v>
      </c>
      <c r="P31" s="49" t="s">
        <v>19</v>
      </c>
    </row>
    <row r="32" spans="2:16" ht="6" customHeight="1" thickBot="1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50"/>
      <c r="P32" s="45"/>
    </row>
    <row r="33" spans="2:16" ht="30" customHeight="1">
      <c r="B33" s="51" t="s">
        <v>43</v>
      </c>
      <c r="C33" s="86" t="s">
        <v>44</v>
      </c>
      <c r="D33" s="86"/>
      <c r="E33" s="86" t="s">
        <v>45</v>
      </c>
      <c r="F33" s="86"/>
      <c r="G33" s="86" t="s">
        <v>46</v>
      </c>
      <c r="H33" s="86"/>
      <c r="I33" s="86" t="s">
        <v>47</v>
      </c>
      <c r="J33" s="86"/>
      <c r="K33" s="53"/>
      <c r="L33" s="93" t="s">
        <v>48</v>
      </c>
      <c r="M33" s="93"/>
      <c r="N33" s="53"/>
      <c r="O33" s="89">
        <v>5.5</v>
      </c>
      <c r="P33" s="89">
        <v>5.5</v>
      </c>
    </row>
    <row r="34" spans="2:16" ht="15" thickBot="1">
      <c r="B34" s="54" t="s">
        <v>49</v>
      </c>
      <c r="C34" s="91" t="s">
        <v>50</v>
      </c>
      <c r="D34" s="92"/>
      <c r="E34" s="91" t="s">
        <v>39</v>
      </c>
      <c r="F34" s="92"/>
      <c r="G34" s="91" t="s">
        <v>39</v>
      </c>
      <c r="H34" s="92"/>
      <c r="I34" s="91" t="s">
        <v>39</v>
      </c>
      <c r="J34" s="92"/>
      <c r="K34" s="62"/>
      <c r="L34" s="55">
        <v>1.5</v>
      </c>
      <c r="M34" s="55">
        <v>3</v>
      </c>
      <c r="N34" s="63"/>
      <c r="O34" s="90"/>
      <c r="P34" s="90"/>
    </row>
    <row r="35" spans="2:16" ht="14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5"/>
    </row>
    <row r="36" spans="2:16" ht="14">
      <c r="B36" s="85" t="s">
        <v>51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44"/>
      <c r="P36" s="45"/>
    </row>
    <row r="37" spans="2:16" ht="6" customHeight="1" thickBot="1"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4"/>
      <c r="P37" s="45"/>
    </row>
    <row r="38" spans="2:16" ht="30" customHeight="1">
      <c r="B38" s="64" t="s">
        <v>52</v>
      </c>
      <c r="C38" s="86" t="s">
        <v>53</v>
      </c>
      <c r="D38" s="86"/>
      <c r="E38" s="87" t="s">
        <v>54</v>
      </c>
      <c r="F38" s="88"/>
      <c r="G38" s="44"/>
      <c r="H38" s="44"/>
      <c r="I38" s="44"/>
      <c r="J38" s="44"/>
      <c r="K38" s="44"/>
      <c r="L38" s="44"/>
      <c r="M38" s="44"/>
      <c r="N38" s="44"/>
      <c r="O38" s="80">
        <v>1</v>
      </c>
      <c r="P38" s="81"/>
    </row>
    <row r="39" spans="2:16" ht="15" thickBot="1">
      <c r="B39" s="65" t="s">
        <v>55</v>
      </c>
      <c r="C39" s="55">
        <v>2</v>
      </c>
      <c r="D39" s="55">
        <v>4</v>
      </c>
      <c r="E39" s="55">
        <v>1</v>
      </c>
      <c r="F39" s="55">
        <v>2</v>
      </c>
      <c r="G39" s="44"/>
      <c r="H39" s="44"/>
      <c r="I39" s="44"/>
      <c r="J39" s="44"/>
      <c r="K39" s="44"/>
      <c r="L39" s="44"/>
      <c r="M39" s="44"/>
      <c r="N39" s="44"/>
      <c r="O39" s="82"/>
      <c r="P39" s="83"/>
    </row>
    <row r="40" spans="2:16" ht="14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5"/>
    </row>
    <row r="41" spans="2:16" ht="14">
      <c r="B41" s="84" t="s">
        <v>56</v>
      </c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45"/>
      <c r="P41" s="45"/>
    </row>
    <row r="42" spans="2:16" ht="6" customHeight="1" thickBot="1"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50"/>
      <c r="P42" s="45"/>
    </row>
    <row r="43" spans="2:16" s="2" customFormat="1" ht="30">
      <c r="B43" s="66" t="s">
        <v>57</v>
      </c>
      <c r="C43" s="52">
        <v>0</v>
      </c>
      <c r="D43" s="52">
        <v>1</v>
      </c>
      <c r="E43" s="52">
        <v>2</v>
      </c>
      <c r="F43" s="52">
        <v>3</v>
      </c>
      <c r="G43" s="52">
        <v>4</v>
      </c>
      <c r="H43" s="52">
        <v>5</v>
      </c>
      <c r="I43" s="52">
        <v>6</v>
      </c>
      <c r="J43" s="52">
        <v>7</v>
      </c>
      <c r="K43" s="52">
        <v>8</v>
      </c>
      <c r="L43" s="44"/>
      <c r="M43" s="44"/>
      <c r="N43" s="44"/>
      <c r="O43" s="80">
        <v>1</v>
      </c>
      <c r="P43" s="81"/>
    </row>
    <row r="44" spans="2:16" s="2" customFormat="1" ht="15" thickBot="1">
      <c r="B44" s="54" t="s">
        <v>58</v>
      </c>
      <c r="C44" s="55">
        <v>1</v>
      </c>
      <c r="D44" s="55">
        <v>1.05</v>
      </c>
      <c r="E44" s="55">
        <v>1.1200000000000001</v>
      </c>
      <c r="F44" s="55">
        <v>1.2</v>
      </c>
      <c r="G44" s="55">
        <v>1.33</v>
      </c>
      <c r="H44" s="55">
        <v>1.48</v>
      </c>
      <c r="I44" s="55">
        <v>1.7</v>
      </c>
      <c r="J44" s="55">
        <v>2</v>
      </c>
      <c r="K44" s="55">
        <v>2.5</v>
      </c>
      <c r="L44" s="56"/>
      <c r="M44" s="56"/>
      <c r="N44" s="56"/>
      <c r="O44" s="82"/>
      <c r="P44" s="83"/>
    </row>
    <row r="45" spans="2:16" s="2" customFormat="1" ht="14">
      <c r="B45" s="67"/>
      <c r="C45" s="6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44"/>
      <c r="P45" s="45"/>
    </row>
    <row r="46" spans="2:16" s="2" customFormat="1" ht="14">
      <c r="B46" s="84" t="s">
        <v>59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45"/>
      <c r="P46" s="45"/>
    </row>
    <row r="47" spans="2:16" s="2" customFormat="1" ht="6" customHeight="1" thickBot="1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50"/>
      <c r="P47" s="45"/>
    </row>
    <row r="48" spans="2:16" s="2" customFormat="1" ht="30">
      <c r="B48" s="69" t="s">
        <v>60</v>
      </c>
      <c r="C48" s="52" t="s">
        <v>61</v>
      </c>
      <c r="D48" s="52" t="s">
        <v>62</v>
      </c>
      <c r="E48" s="52" t="s">
        <v>63</v>
      </c>
      <c r="F48" s="52" t="s">
        <v>64</v>
      </c>
      <c r="G48" s="52" t="s">
        <v>65</v>
      </c>
      <c r="H48" s="52" t="s">
        <v>66</v>
      </c>
      <c r="I48" s="52" t="s">
        <v>67</v>
      </c>
      <c r="J48" s="52" t="s">
        <v>68</v>
      </c>
      <c r="K48" s="44"/>
      <c r="L48" s="44"/>
      <c r="M48" s="44"/>
      <c r="N48" s="44"/>
      <c r="O48" s="80">
        <v>0.93</v>
      </c>
      <c r="P48" s="81"/>
    </row>
    <row r="49" spans="2:16" s="2" customFormat="1" ht="15" thickBot="1">
      <c r="B49" s="65" t="s">
        <v>69</v>
      </c>
      <c r="C49" s="55">
        <v>0.5</v>
      </c>
      <c r="D49" s="55">
        <v>0.65</v>
      </c>
      <c r="E49" s="55">
        <v>0.75</v>
      </c>
      <c r="F49" s="55">
        <v>0.85</v>
      </c>
      <c r="G49" s="55">
        <v>0.92500000000000004</v>
      </c>
      <c r="H49" s="55">
        <v>0.95</v>
      </c>
      <c r="I49" s="55">
        <v>1</v>
      </c>
      <c r="J49" s="55">
        <v>1.5</v>
      </c>
      <c r="K49" s="56"/>
      <c r="L49" s="56"/>
      <c r="M49" s="56"/>
      <c r="N49" s="56"/>
      <c r="O49" s="82"/>
      <c r="P49" s="83"/>
    </row>
    <row r="50" spans="2:16" s="2" customFormat="1" ht="14">
      <c r="B50" s="68"/>
      <c r="C50" s="58"/>
      <c r="D50" s="58"/>
      <c r="E50" s="58"/>
      <c r="F50" s="58"/>
      <c r="G50" s="58"/>
      <c r="H50" s="58"/>
      <c r="I50" s="58"/>
      <c r="J50" s="44"/>
      <c r="K50" s="44"/>
      <c r="L50" s="44"/>
      <c r="M50" s="44"/>
      <c r="N50" s="44"/>
      <c r="O50" s="44"/>
      <c r="P50" s="45"/>
    </row>
    <row r="51" spans="2:16" s="2" customFormat="1" ht="15" thickBot="1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5"/>
    </row>
    <row r="52" spans="2:16" s="2" customFormat="1" ht="13.25" customHeight="1">
      <c r="B52" s="45"/>
      <c r="C52" s="44"/>
      <c r="D52" s="44"/>
      <c r="E52" s="44"/>
      <c r="F52" s="44"/>
      <c r="G52" s="44"/>
      <c r="H52" s="44"/>
      <c r="I52" s="44"/>
      <c r="J52" s="70" t="s">
        <v>70</v>
      </c>
      <c r="K52" s="71"/>
      <c r="L52" s="71"/>
      <c r="M52" s="72"/>
      <c r="N52" s="45"/>
      <c r="O52" s="76">
        <f>((O23+O28+O33+O38)*O43*O48)</f>
        <v>9.7650000000000006</v>
      </c>
      <c r="P52" s="77"/>
    </row>
    <row r="53" spans="2:16" s="2" customFormat="1" ht="14" customHeight="1" thickBot="1">
      <c r="B53" s="44"/>
      <c r="C53" s="44"/>
      <c r="D53" s="44"/>
      <c r="E53" s="44"/>
      <c r="F53" s="44"/>
      <c r="G53" s="44"/>
      <c r="H53" s="44"/>
      <c r="I53" s="44"/>
      <c r="J53" s="73"/>
      <c r="K53" s="74"/>
      <c r="L53" s="74"/>
      <c r="M53" s="75"/>
      <c r="N53" s="45"/>
      <c r="O53" s="78"/>
      <c r="P53" s="79"/>
    </row>
    <row r="54" spans="2:16" s="2" customFormat="1" ht="15" thickBot="1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5"/>
    </row>
    <row r="55" spans="2:16" s="2" customFormat="1" ht="13.25" customHeight="1">
      <c r="B55" s="44"/>
      <c r="C55" s="44"/>
      <c r="D55" s="44"/>
      <c r="E55" s="44"/>
      <c r="F55" s="44"/>
      <c r="G55" s="44"/>
      <c r="H55" s="44"/>
      <c r="I55" s="44"/>
      <c r="J55" s="70" t="s">
        <v>71</v>
      </c>
      <c r="K55" s="71"/>
      <c r="L55" s="71"/>
      <c r="M55" s="72"/>
      <c r="N55" s="45"/>
      <c r="O55" s="76">
        <f>((P23+P28+P33+O38)*O43*O48)</f>
        <v>9.7650000000000006</v>
      </c>
      <c r="P55" s="77"/>
    </row>
    <row r="56" spans="2:16" s="2" customFormat="1" ht="14" customHeight="1" thickBot="1">
      <c r="B56" s="44"/>
      <c r="C56" s="44"/>
      <c r="D56" s="44"/>
      <c r="E56" s="44"/>
      <c r="F56" s="44"/>
      <c r="G56" s="44"/>
      <c r="H56" s="44"/>
      <c r="I56" s="44"/>
      <c r="J56" s="73"/>
      <c r="K56" s="74"/>
      <c r="L56" s="74"/>
      <c r="M56" s="75"/>
      <c r="N56" s="45"/>
      <c r="O56" s="78"/>
      <c r="P56" s="79"/>
    </row>
  </sheetData>
  <mergeCells count="67">
    <mergeCell ref="B1:P1"/>
    <mergeCell ref="B3:I3"/>
    <mergeCell ref="O3:P3"/>
    <mergeCell ref="B5:N5"/>
    <mergeCell ref="O5:P5"/>
    <mergeCell ref="B6:N6"/>
    <mergeCell ref="O6:P6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O33:O34"/>
    <mergeCell ref="P33:P34"/>
    <mergeCell ref="C34:D34"/>
    <mergeCell ref="E34:F34"/>
    <mergeCell ref="G34:H34"/>
    <mergeCell ref="I34:J34"/>
    <mergeCell ref="C33:D33"/>
    <mergeCell ref="E33:F33"/>
    <mergeCell ref="G33:H33"/>
    <mergeCell ref="I33:J33"/>
    <mergeCell ref="L33:M33"/>
    <mergeCell ref="B36:N36"/>
    <mergeCell ref="C38:D38"/>
    <mergeCell ref="E38:F38"/>
    <mergeCell ref="O38:P39"/>
    <mergeCell ref="B41:N41"/>
    <mergeCell ref="J55:M56"/>
    <mergeCell ref="O55:P56"/>
    <mergeCell ref="O43:P44"/>
    <mergeCell ref="B46:N46"/>
    <mergeCell ref="O48:P49"/>
    <mergeCell ref="J52:M53"/>
    <mergeCell ref="O52:P53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CHECK LIST OCRA</vt:lpstr>
      <vt:lpstr>Vuoto 1</vt:lpstr>
      <vt:lpstr>Vuoto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Fabio.Cerri</dc:creator>
  <cp:keywords/>
  <dc:description/>
  <cp:lastModifiedBy>MICHELA  BERARDINI</cp:lastModifiedBy>
  <cp:revision/>
  <dcterms:created xsi:type="dcterms:W3CDTF">2007-12-17T16:54:00Z</dcterms:created>
  <dcterms:modified xsi:type="dcterms:W3CDTF">2026-06-12T09:04:08Z</dcterms:modified>
  <cp:category/>
  <cp:contentStatus/>
</cp:coreProperties>
</file>