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Smontaggio gomme/"/>
    </mc:Choice>
  </mc:AlternateContent>
  <xr:revisionPtr revIDLastSave="0" documentId="8_{BDB8F80A-053D-904F-8170-8EEE89710492}" xr6:coauthVersionLast="47" xr6:coauthVersionMax="47" xr10:uidLastSave="{00000000-0000-0000-0000-000000000000}"/>
  <bookViews>
    <workbookView xWindow="5580" yWindow="2380" windowWidth="27640" windowHeight="16680" xr2:uid="{65F8DA58-E1B7-2540-8C23-61567AE071A8}"/>
  </bookViews>
  <sheets>
    <sheet name="montaggio gomm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1" l="1"/>
  <c r="O55" i="1"/>
</calcChain>
</file>

<file path=xl/sharedStrings.xml><?xml version="1.0" encoding="utf-8"?>
<sst xmlns="http://schemas.openxmlformats.org/spreadsheetml/2006/main" count="79" uniqueCount="72">
  <si>
    <t>Indice Check-list OCRA arto sinistro</t>
  </si>
  <si>
    <t>Indice Check-list OCRA arto destro</t>
  </si>
  <si>
    <t>Moltiplicatore DURATA</t>
  </si>
  <si>
    <t>&gt;480</t>
  </si>
  <si>
    <t>421-480</t>
  </si>
  <si>
    <t>361-420</t>
  </si>
  <si>
    <t>301-360</t>
  </si>
  <si>
    <t>241-300</t>
  </si>
  <si>
    <t>181-240</t>
  </si>
  <si>
    <t>121-180</t>
  </si>
  <si>
    <t>60-120</t>
  </si>
  <si>
    <t>Tempo netto di lavoro ripetitivo (minuti)</t>
  </si>
  <si>
    <t>MOLTIPLICATORE DURATA NETTA</t>
  </si>
  <si>
    <t>Moltiplicatore RECUPERO</t>
  </si>
  <si>
    <t>N°ore senza adeguato recupero</t>
  </si>
  <si>
    <t>MOLTIPLICATORE RECUPERO</t>
  </si>
  <si>
    <t>Fattori COMPLEMENTARI</t>
  </si>
  <si>
    <t>Fattori Organizzativi</t>
  </si>
  <si>
    <t>Fattori Fisici</t>
  </si>
  <si>
    <t>Presenza dei fattori complementari</t>
  </si>
  <si>
    <t>FATTORE COMPLEMENTARI (da una sola risposta per blocco e somma)</t>
  </si>
  <si>
    <t>da 2 a 8</t>
  </si>
  <si>
    <t>da 1 a 24</t>
  </si>
  <si>
    <t>Fattore POSTURA</t>
  </si>
  <si>
    <t>Stereotipia</t>
  </si>
  <si>
    <t>Mano-dita</t>
  </si>
  <si>
    <t>Polso</t>
  </si>
  <si>
    <t>Gomito</t>
  </si>
  <si>
    <t>Spalla</t>
  </si>
  <si>
    <t>Postura dei segmenti articolari</t>
  </si>
  <si>
    <t>art.rec.</t>
  </si>
  <si>
    <t>art.dom.</t>
  </si>
  <si>
    <t>FATTORE POSTURA (si prende il massimo dei punteggi dei segmenti articolari e si somma la stereotipia)</t>
  </si>
  <si>
    <t>da 6 a 32</t>
  </si>
  <si>
    <t>da 4 a 24</t>
  </si>
  <si>
    <t>Fattore FORZA</t>
  </si>
  <si>
    <t>Forza intensa o quasi massimale (&gt;8 scala di Borg)</t>
  </si>
  <si>
    <t>Forza forte (5-6-7 scala di Borg)</t>
  </si>
  <si>
    <t>Forza di grado moderato (3-4 scala di Borg)</t>
  </si>
  <si>
    <t>Forza</t>
  </si>
  <si>
    <t>FATTORE FORZA</t>
  </si>
  <si>
    <t>Fattore FREQUENZA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</si>
  <si>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</si>
  <si>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62,5-67,4</t>
  </si>
  <si>
    <t>57,5-62,4</t>
  </si>
  <si>
    <t>52,5-57,4</t>
  </si>
  <si>
    <t>47,5-52,4</t>
  </si>
  <si>
    <t>42,5-47,4</t>
  </si>
  <si>
    <t>37,5-42,4</t>
  </si>
  <si>
    <t>32,5-37,4</t>
  </si>
  <si>
    <t>27,5-32,4</t>
  </si>
  <si>
    <t>22,5-27,4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</si>
  <si>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</si>
  <si>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Frequenza</t>
  </si>
  <si>
    <t>FATTORE FREQUENZA</t>
  </si>
  <si>
    <t>%Differenza fra tempo di ciclo osservato e tempo di ciclo raccomandato → (i) = |(g) - (h)|/(g)</t>
  </si>
  <si>
    <t>DURATA DEL TEMPO TOTALE NETTO DI CICLO calcolato o CADENZA (in secondi) → (g) = (e/f) x 60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</si>
  <si>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</si>
  <si>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Sono presenti tempi di recupero interni al ciclo</t>
  </si>
  <si>
    <t>Non ci sono veri cicli ma si ripetono sempre le stesse azioni: scrivere (in secondi), il tempo di osservazione rappresentativo scelto</t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</si>
  <si>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</si>
  <si>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</si>
  <si>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</si>
  <si>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</si>
  <si>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</si>
  <si>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t>Numero pause effettive nel turno, di durata uguale o superiore a 8 minuti (esclusa la pausa mensa) considerabili come recuperi</t>
  </si>
  <si>
    <t>DURATA LAVORI NON RIPETITIVI (pulizie, approvvigionamenti, ecc…) in minuti (d)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</si>
  <si>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</si>
  <si>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TURNO (minuti) LORDA</t>
  </si>
  <si>
    <t>Rif. scheda n.</t>
  </si>
  <si>
    <t>SCHEDA CALCOLO ANALITICA</t>
  </si>
  <si>
    <t>Calcolo degli indici di rischio con il metodo della Check-list OCRA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</si>
</sst>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Symbol"/>
      <family val="1"/>
    </font>
    <font>
      <sz val="9"/>
      <name val="Arial"/>
      <family val="2"/>
    </font>
    <font>
      <sz val="9"/>
      <name val="Calibri"/>
      <family val="2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0" xfId="0" applyNumberFormat="1" applyFont="1"/>
    <xf numFmtId="2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right"/>
    </xf>
    <xf numFmtId="0" fontId="8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15" xfId="0" applyNumberFormat="1" applyFont="1" applyBorder="1" applyAlignment="1">
      <alignment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2" fontId="12" fillId="0" borderId="17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13" fillId="0" borderId="0" xfId="0" applyFont="1"/>
    <xf numFmtId="0" fontId="3" fillId="0" borderId="17" xfId="0" quotePrefix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13" fillId="0" borderId="17" xfId="0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12" fillId="0" borderId="2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4" fillId="0" borderId="0" xfId="0" quotePrefix="1" applyFont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3B63-2405-FF4B-8579-899BEFCB0721}">
  <dimension ref="B1:P56"/>
  <sheetViews>
    <sheetView showGridLines="0" tabSelected="1" topLeftCell="A8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" customWidth="1"/>
  </cols>
  <sheetData>
    <row r="1" spans="2:16" s="72" customFormat="1" ht="18" x14ac:dyDescent="0.2">
      <c r="B1" s="83" t="s">
        <v>71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2:16" s="72" customFormat="1" ht="9.75" customHeight="1" thickBot="1" x14ac:dyDescent="0.25">
      <c r="B2" s="82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0"/>
    </row>
    <row r="3" spans="2:16" s="72" customFormat="1" ht="19" thickBot="1" x14ac:dyDescent="0.25">
      <c r="B3" s="79" t="s">
        <v>70</v>
      </c>
      <c r="C3" s="78"/>
      <c r="D3" s="78"/>
      <c r="E3" s="78"/>
      <c r="F3" s="78"/>
      <c r="G3" s="78"/>
      <c r="H3" s="78"/>
      <c r="I3" s="78"/>
      <c r="J3" s="77"/>
      <c r="K3" s="77"/>
      <c r="L3" s="77"/>
      <c r="M3" s="76" t="s">
        <v>69</v>
      </c>
      <c r="N3" s="75"/>
      <c r="O3" s="74"/>
      <c r="P3" s="73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68" t="s">
        <v>68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>
        <v>480</v>
      </c>
      <c r="P5" s="65"/>
    </row>
    <row r="6" spans="2:16" ht="14" thickBot="1" x14ac:dyDescent="0.2">
      <c r="B6" s="68" t="s">
        <v>67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6">
        <v>460</v>
      </c>
      <c r="P6" s="65"/>
    </row>
    <row r="7" spans="2:16" ht="14" thickBot="1" x14ac:dyDescent="0.2">
      <c r="B7" s="68" t="s">
        <v>66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6">
        <v>160</v>
      </c>
      <c r="P7" s="65"/>
    </row>
    <row r="8" spans="2:16" ht="14" thickBot="1" x14ac:dyDescent="0.2">
      <c r="B8" s="68" t="s">
        <v>65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6">
        <v>1</v>
      </c>
      <c r="P8" s="65"/>
    </row>
    <row r="9" spans="2:16" ht="14" thickBot="1" x14ac:dyDescent="0.2">
      <c r="B9" s="68" t="s">
        <v>64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6">
        <v>20</v>
      </c>
      <c r="P9" s="65"/>
    </row>
    <row r="10" spans="2:16" ht="14" thickBot="1" x14ac:dyDescent="0.2">
      <c r="B10" s="71" t="s">
        <v>63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68"/>
      <c r="O10" s="66"/>
      <c r="P10" s="65"/>
    </row>
    <row r="11" spans="2:16" ht="27.5" customHeight="1" thickBot="1" x14ac:dyDescent="0.2">
      <c r="B11" s="70" t="s">
        <v>62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6"/>
      <c r="P11" s="65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68" t="s">
        <v>61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6"/>
      <c r="P13" s="65"/>
    </row>
    <row r="14" spans="2:16" ht="14" thickBot="1" x14ac:dyDescent="0.2">
      <c r="B14" s="68" t="s">
        <v>60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6"/>
      <c r="P14" s="65"/>
    </row>
    <row r="15" spans="2:16" ht="14" thickBot="1" x14ac:dyDescent="0.2">
      <c r="B15" s="68" t="s">
        <v>59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6"/>
      <c r="P15" s="65"/>
    </row>
    <row r="16" spans="2:16" ht="14" thickBot="1" x14ac:dyDescent="0.2">
      <c r="B16" s="68" t="s">
        <v>58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6"/>
      <c r="P16" s="65"/>
    </row>
    <row r="17" spans="2:16" ht="17" thickBot="1" x14ac:dyDescent="0.2">
      <c r="B17" s="60" t="s">
        <v>57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4">
        <v>300</v>
      </c>
      <c r="P17" s="63"/>
    </row>
    <row r="18" spans="2:16" ht="17" thickBot="1" x14ac:dyDescent="0.2">
      <c r="B18" s="60" t="s">
        <v>56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2"/>
      <c r="P18" s="61"/>
    </row>
    <row r="19" spans="2:16" ht="17" thickBot="1" x14ac:dyDescent="0.2">
      <c r="B19" s="60" t="s">
        <v>55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8"/>
      <c r="P19" s="57"/>
    </row>
    <row r="20" spans="2:16" x14ac:dyDescent="0.15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5"/>
      <c r="P20" s="55"/>
    </row>
    <row r="21" spans="2:16" ht="13.25" customHeight="1" x14ac:dyDescent="0.15">
      <c r="B21" s="37" t="s">
        <v>54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7" t="s">
        <v>31</v>
      </c>
      <c r="P21" s="47" t="s">
        <v>30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5"/>
    </row>
    <row r="23" spans="2:16" ht="30" customHeight="1" x14ac:dyDescent="0.15">
      <c r="B23" s="46" t="s">
        <v>53</v>
      </c>
      <c r="C23" s="23" t="s">
        <v>52</v>
      </c>
      <c r="D23" s="23" t="s">
        <v>51</v>
      </c>
      <c r="E23" s="23" t="s">
        <v>50</v>
      </c>
      <c r="F23" s="23" t="s">
        <v>49</v>
      </c>
      <c r="G23" s="23" t="s">
        <v>48</v>
      </c>
      <c r="H23" s="23" t="s">
        <v>47</v>
      </c>
      <c r="I23" s="23" t="s">
        <v>46</v>
      </c>
      <c r="J23" s="23" t="s">
        <v>45</v>
      </c>
      <c r="K23" s="23" t="s">
        <v>44</v>
      </c>
      <c r="L23" s="23" t="s">
        <v>43</v>
      </c>
      <c r="M23" s="23" t="s">
        <v>42</v>
      </c>
      <c r="N23" s="44"/>
      <c r="O23" s="43">
        <v>4</v>
      </c>
      <c r="P23" s="43">
        <v>0</v>
      </c>
    </row>
    <row r="24" spans="2:16" ht="14" thickBot="1" x14ac:dyDescent="0.2">
      <c r="B24" s="29" t="s">
        <v>41</v>
      </c>
      <c r="C24" s="19">
        <v>0</v>
      </c>
      <c r="D24" s="19">
        <v>0.5</v>
      </c>
      <c r="E24" s="19">
        <v>1</v>
      </c>
      <c r="F24" s="19">
        <v>2</v>
      </c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  <c r="N24" s="18"/>
      <c r="O24" s="38"/>
      <c r="P24" s="38"/>
    </row>
    <row r="25" spans="2:16" x14ac:dyDescent="0.15">
      <c r="B25" s="54"/>
      <c r="C25" s="5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/>
    </row>
    <row r="26" spans="2:16" x14ac:dyDescent="0.15">
      <c r="B26" s="27" t="s">
        <v>40</v>
      </c>
      <c r="C26" s="53"/>
      <c r="D26" s="53"/>
      <c r="E26" s="53"/>
      <c r="F26" s="53"/>
      <c r="G26" s="53"/>
      <c r="H26" s="53"/>
      <c r="I26" s="53"/>
      <c r="J26" s="53"/>
      <c r="K26" s="52"/>
      <c r="L26" s="52"/>
      <c r="M26" s="52"/>
      <c r="N26" s="52"/>
      <c r="O26" s="47" t="s">
        <v>31</v>
      </c>
      <c r="P26" s="47" t="s">
        <v>30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5"/>
    </row>
    <row r="28" spans="2:16" ht="33.5" customHeight="1" x14ac:dyDescent="0.15">
      <c r="B28" s="46" t="s">
        <v>39</v>
      </c>
      <c r="C28" s="51" t="s">
        <v>38</v>
      </c>
      <c r="D28" s="50"/>
      <c r="E28" s="51" t="s">
        <v>37</v>
      </c>
      <c r="F28" s="50"/>
      <c r="G28" s="51" t="s">
        <v>36</v>
      </c>
      <c r="H28" s="50"/>
      <c r="I28" s="49"/>
      <c r="J28" s="49"/>
      <c r="K28" s="48"/>
      <c r="L28" s="48"/>
      <c r="M28" s="48"/>
      <c r="N28" s="48"/>
      <c r="O28" s="43">
        <v>2</v>
      </c>
      <c r="P28" s="43">
        <v>2</v>
      </c>
    </row>
    <row r="29" spans="2:16" ht="14" thickBot="1" x14ac:dyDescent="0.2">
      <c r="B29" s="29" t="s">
        <v>35</v>
      </c>
      <c r="C29" s="42" t="s">
        <v>21</v>
      </c>
      <c r="D29" s="41"/>
      <c r="E29" s="42" t="s">
        <v>34</v>
      </c>
      <c r="F29" s="41"/>
      <c r="G29" s="42" t="s">
        <v>33</v>
      </c>
      <c r="H29" s="41"/>
      <c r="I29" s="18"/>
      <c r="J29" s="18"/>
      <c r="K29" s="14"/>
      <c r="L29" s="14"/>
      <c r="M29" s="14"/>
      <c r="N29" s="14"/>
      <c r="O29" s="38"/>
      <c r="P29" s="38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7" t="s">
        <v>32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7" t="s">
        <v>31</v>
      </c>
      <c r="P31" s="47" t="s">
        <v>30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5"/>
    </row>
    <row r="33" spans="2:16" ht="30" customHeight="1" x14ac:dyDescent="0.15">
      <c r="B33" s="46" t="s">
        <v>29</v>
      </c>
      <c r="C33" s="34" t="s">
        <v>28</v>
      </c>
      <c r="D33" s="34"/>
      <c r="E33" s="34" t="s">
        <v>27</v>
      </c>
      <c r="F33" s="34"/>
      <c r="G33" s="34" t="s">
        <v>26</v>
      </c>
      <c r="H33" s="34"/>
      <c r="I33" s="34" t="s">
        <v>25</v>
      </c>
      <c r="J33" s="34"/>
      <c r="K33" s="44"/>
      <c r="L33" s="45" t="s">
        <v>24</v>
      </c>
      <c r="M33" s="45"/>
      <c r="N33" s="44"/>
      <c r="O33" s="43">
        <v>9.5</v>
      </c>
      <c r="P33" s="43">
        <v>0</v>
      </c>
    </row>
    <row r="34" spans="2:16" ht="14" thickBot="1" x14ac:dyDescent="0.2">
      <c r="B34" s="29" t="s">
        <v>23</v>
      </c>
      <c r="C34" s="42" t="s">
        <v>22</v>
      </c>
      <c r="D34" s="41"/>
      <c r="E34" s="42" t="s">
        <v>21</v>
      </c>
      <c r="F34" s="41"/>
      <c r="G34" s="42" t="s">
        <v>21</v>
      </c>
      <c r="H34" s="41"/>
      <c r="I34" s="42" t="s">
        <v>21</v>
      </c>
      <c r="J34" s="41"/>
      <c r="K34" s="40"/>
      <c r="L34" s="19">
        <v>1.5</v>
      </c>
      <c r="M34" s="19">
        <v>3</v>
      </c>
      <c r="N34" s="39"/>
      <c r="O34" s="38"/>
      <c r="P34" s="38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7" t="s">
        <v>20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3"/>
    </row>
    <row r="37" spans="2:16" ht="6" customHeight="1" thickBot="1" x14ac:dyDescent="0.2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13"/>
    </row>
    <row r="38" spans="2:16" ht="30" customHeight="1" x14ac:dyDescent="0.15">
      <c r="B38" s="35" t="s">
        <v>19</v>
      </c>
      <c r="C38" s="34" t="s">
        <v>18</v>
      </c>
      <c r="D38" s="34"/>
      <c r="E38" s="33" t="s">
        <v>17</v>
      </c>
      <c r="F38" s="32"/>
      <c r="G38" s="13"/>
      <c r="H38" s="13"/>
      <c r="I38" s="13"/>
      <c r="J38" s="13"/>
      <c r="K38" s="13"/>
      <c r="L38" s="13"/>
      <c r="M38" s="13"/>
      <c r="N38" s="13"/>
      <c r="O38" s="22">
        <v>0</v>
      </c>
      <c r="P38" s="21"/>
    </row>
    <row r="39" spans="2:16" ht="14" thickBot="1" x14ac:dyDescent="0.2">
      <c r="B39" s="20" t="s">
        <v>16</v>
      </c>
      <c r="C39" s="19">
        <v>2</v>
      </c>
      <c r="D39" s="19">
        <v>4</v>
      </c>
      <c r="E39" s="19">
        <v>1</v>
      </c>
      <c r="F39" s="19">
        <v>2</v>
      </c>
      <c r="G39" s="13"/>
      <c r="H39" s="13"/>
      <c r="I39" s="13"/>
      <c r="J39" s="13"/>
      <c r="K39" s="13"/>
      <c r="L39" s="13"/>
      <c r="M39" s="13"/>
      <c r="N39" s="13"/>
      <c r="O39" s="17"/>
      <c r="P39" s="1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27" t="s">
        <v>15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6"/>
      <c r="P41" s="31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5"/>
    </row>
    <row r="43" spans="2:16" s="1" customFormat="1" ht="28" x14ac:dyDescent="0.15">
      <c r="B43" s="30" t="s">
        <v>14</v>
      </c>
      <c r="C43" s="23">
        <v>0</v>
      </c>
      <c r="D43" s="23">
        <v>1</v>
      </c>
      <c r="E43" s="23">
        <v>2</v>
      </c>
      <c r="F43" s="23">
        <v>3</v>
      </c>
      <c r="G43" s="23">
        <v>4</v>
      </c>
      <c r="H43" s="23">
        <v>5</v>
      </c>
      <c r="I43" s="23">
        <v>6</v>
      </c>
      <c r="J43" s="23">
        <v>7</v>
      </c>
      <c r="K43" s="23">
        <v>8</v>
      </c>
      <c r="L43" s="13"/>
      <c r="M43" s="13"/>
      <c r="N43" s="13"/>
      <c r="O43" s="22">
        <v>1</v>
      </c>
      <c r="P43" s="21"/>
    </row>
    <row r="44" spans="2:16" s="1" customFormat="1" ht="14" thickBot="1" x14ac:dyDescent="0.2">
      <c r="B44" s="29" t="s">
        <v>13</v>
      </c>
      <c r="C44" s="19">
        <v>1</v>
      </c>
      <c r="D44" s="19">
        <v>1.05</v>
      </c>
      <c r="E44" s="19">
        <v>1.1200000000000001</v>
      </c>
      <c r="F44" s="19">
        <v>1.2</v>
      </c>
      <c r="G44" s="19">
        <v>1.33</v>
      </c>
      <c r="H44" s="19">
        <v>1.48</v>
      </c>
      <c r="I44" s="19">
        <v>1.7</v>
      </c>
      <c r="J44" s="19">
        <v>2</v>
      </c>
      <c r="K44" s="19">
        <v>2.5</v>
      </c>
      <c r="L44" s="18"/>
      <c r="M44" s="18"/>
      <c r="N44" s="18"/>
      <c r="O44" s="17"/>
      <c r="P44" s="16"/>
    </row>
    <row r="45" spans="2:16" s="1" customFormat="1" x14ac:dyDescent="0.15">
      <c r="B45" s="28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/>
    </row>
    <row r="46" spans="2:16" s="1" customFormat="1" x14ac:dyDescent="0.15">
      <c r="B46" s="27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6"/>
    </row>
    <row r="47" spans="2:16" s="1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5"/>
    </row>
    <row r="48" spans="2:16" s="1" customFormat="1" ht="28" x14ac:dyDescent="0.15">
      <c r="B48" s="24" t="s">
        <v>11</v>
      </c>
      <c r="C48" s="23" t="s">
        <v>10</v>
      </c>
      <c r="D48" s="23" t="s">
        <v>9</v>
      </c>
      <c r="E48" s="23" t="s">
        <v>8</v>
      </c>
      <c r="F48" s="23" t="s">
        <v>7</v>
      </c>
      <c r="G48" s="23" t="s">
        <v>6</v>
      </c>
      <c r="H48" s="23" t="s">
        <v>5</v>
      </c>
      <c r="I48" s="23" t="s">
        <v>4</v>
      </c>
      <c r="J48" s="23" t="s">
        <v>3</v>
      </c>
      <c r="K48" s="13"/>
      <c r="L48" s="13"/>
      <c r="M48" s="13"/>
      <c r="N48" s="13"/>
      <c r="O48" s="22">
        <v>0.85</v>
      </c>
      <c r="P48" s="21"/>
    </row>
    <row r="49" spans="2:16" s="1" customFormat="1" ht="14" thickBot="1" x14ac:dyDescent="0.2">
      <c r="B49" s="20" t="s">
        <v>2</v>
      </c>
      <c r="C49" s="19">
        <v>0.5</v>
      </c>
      <c r="D49" s="19">
        <v>0.65</v>
      </c>
      <c r="E49" s="19">
        <v>0.75</v>
      </c>
      <c r="F49" s="19">
        <v>0.85</v>
      </c>
      <c r="G49" s="19">
        <v>0.92500000000000004</v>
      </c>
      <c r="H49" s="19">
        <v>0.95</v>
      </c>
      <c r="I49" s="19">
        <v>1</v>
      </c>
      <c r="J49" s="19">
        <v>1.5</v>
      </c>
      <c r="K49" s="18"/>
      <c r="L49" s="18"/>
      <c r="M49" s="18"/>
      <c r="N49" s="18"/>
      <c r="O49" s="17"/>
      <c r="P49" s="16"/>
    </row>
    <row r="50" spans="2:16" s="1" customFormat="1" x14ac:dyDescent="0.15">
      <c r="B50" s="15"/>
      <c r="C50" s="14"/>
      <c r="D50" s="14"/>
      <c r="E50" s="14"/>
      <c r="F50" s="14"/>
      <c r="G50" s="14"/>
      <c r="H50" s="14"/>
      <c r="I50" s="14"/>
      <c r="J50" s="13"/>
      <c r="K50" s="13"/>
      <c r="L50" s="13"/>
      <c r="M50" s="13"/>
      <c r="N50" s="13"/>
      <c r="O50" s="13"/>
    </row>
    <row r="51" spans="2:16" s="1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" customFormat="1" ht="13.25" customHeight="1" x14ac:dyDescent="0.15">
      <c r="C52" s="13"/>
      <c r="D52" s="13"/>
      <c r="E52" s="13"/>
      <c r="F52" s="13"/>
      <c r="G52" s="13"/>
      <c r="H52" s="13"/>
      <c r="I52" s="13"/>
      <c r="J52" s="11" t="s">
        <v>1</v>
      </c>
      <c r="K52" s="10"/>
      <c r="L52" s="10"/>
      <c r="M52" s="9"/>
      <c r="O52" s="8">
        <f>((O23+O28+O33+O38)*O43*O48)</f>
        <v>13.174999999999999</v>
      </c>
      <c r="P52" s="7"/>
    </row>
    <row r="53" spans="2:16" s="1" customFormat="1" ht="13.75" customHeight="1" thickBot="1" x14ac:dyDescent="0.2">
      <c r="B53"/>
      <c r="C53"/>
      <c r="D53"/>
      <c r="E53"/>
      <c r="F53"/>
      <c r="G53"/>
      <c r="H53"/>
      <c r="I53"/>
      <c r="J53" s="6"/>
      <c r="K53" s="5"/>
      <c r="L53" s="5"/>
      <c r="M53" s="4"/>
      <c r="O53" s="3"/>
      <c r="P53" s="2"/>
    </row>
    <row r="54" spans="2:16" s="1" customFormat="1" ht="14" thickBot="1" x14ac:dyDescent="0.2">
      <c r="B54" s="12"/>
      <c r="C54"/>
      <c r="D54"/>
      <c r="E54"/>
      <c r="F54"/>
      <c r="G54"/>
      <c r="H54"/>
      <c r="I54"/>
      <c r="J54"/>
      <c r="K54"/>
      <c r="L54"/>
      <c r="M54"/>
      <c r="N54"/>
      <c r="O54" s="12"/>
    </row>
    <row r="55" spans="2:16" s="1" customFormat="1" ht="13.25" customHeight="1" x14ac:dyDescent="0.15">
      <c r="B55"/>
      <c r="C55"/>
      <c r="D55"/>
      <c r="E55"/>
      <c r="F55"/>
      <c r="G55"/>
      <c r="H55"/>
      <c r="I55"/>
      <c r="J55" s="11" t="s">
        <v>0</v>
      </c>
      <c r="K55" s="10"/>
      <c r="L55" s="10"/>
      <c r="M55" s="9"/>
      <c r="O55" s="8">
        <f>((P23+P28+P33+O38)*O43*O48)</f>
        <v>1.7</v>
      </c>
      <c r="P55" s="7"/>
    </row>
    <row r="56" spans="2:16" s="1" customFormat="1" ht="13.75" customHeight="1" thickBot="1" x14ac:dyDescent="0.2">
      <c r="B56"/>
      <c r="C56"/>
      <c r="D56"/>
      <c r="E56"/>
      <c r="F56"/>
      <c r="G56"/>
      <c r="H56"/>
      <c r="I56"/>
      <c r="J56" s="6"/>
      <c r="K56" s="5"/>
      <c r="L56" s="5"/>
      <c r="M56" s="4"/>
      <c r="O56" s="3"/>
      <c r="P56" s="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montaggio gomme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2026-08-27T08:14:51Z</dcterms:created>
  <dcterms:modified xsi:type="dcterms:W3CDTF">2026-08-27T08:15:00Z</dcterms:modified>
</cp:coreProperties>
</file>