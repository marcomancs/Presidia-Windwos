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Attività di laboratorio (macelleria)/"/>
    </mc:Choice>
  </mc:AlternateContent>
  <xr:revisionPtr revIDLastSave="0" documentId="8_{9A8F112B-59BA-C64C-8332-51F93FE66E54}" xr6:coauthVersionLast="47" xr6:coauthVersionMax="47" xr10:uidLastSave="{00000000-0000-0000-0000-000000000000}"/>
  <bookViews>
    <workbookView xWindow="5580" yWindow="2360" windowWidth="27640" windowHeight="16680" xr2:uid="{D581BA26-B223-2E49-B7D5-89EB5A551601}"/>
  </bookViews>
  <sheets>
    <sheet name="macelleria (B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5" i="1" l="1"/>
  <c r="O52" i="1"/>
</calcChain>
</file>

<file path=xl/sharedStrings.xml><?xml version="1.0" encoding="utf-8"?>
<sst xmlns="http://schemas.openxmlformats.org/spreadsheetml/2006/main" count="79" uniqueCount="72">
  <si>
    <t>Calcolo degli indici di rischio con il metodo della Check-list OCRA</t>
  </si>
  <si>
    <t>SCHEDA CALCOLO ANALITICA</t>
  </si>
  <si>
    <t>Rif. scheda n.</t>
  </si>
  <si>
    <t>DURATA TURNO (minuti) LORDA</t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</si>
  <si>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</si>
  <si>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r>
      <t xml:space="preserve">DURATA LAVORI NON RIPETITIVI (pulizie, approvvigionamenti, ecc…) in minuti </t>
    </r>
    <r>
      <rPr>
        <b/>
        <sz val="10"/>
        <rFont val="Times New Roman"/>
        <family val="1"/>
      </rPr>
      <t>(d)</t>
    </r>
  </si>
  <si>
    <t>Numero pause effettive nel turno, di durata uguale o superiore a 8 minuti (esclusa la pausa mensa) considerabili come recuperi</t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</si>
  <si>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</si>
  <si>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</si>
  <si>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</si>
  <si>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</si>
  <si>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</si>
  <si>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t>Non ci sono veri cicli ma si ripetono sempre le stesse azioni: scrivere (in secondi), il tempo di osservazione rappresentativo scelto</t>
  </si>
  <si>
    <t>Sono presenti tempi di recupero interni al ciclo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</si>
  <si>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</si>
  <si>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DURATA DEL TEMPO TOTALE NETTO DI CICLO calcolato o CADENZA (in secondi) → (g) = (e/f) x 60</t>
  </si>
  <si>
    <t>%Differenza fra tempo di ciclo osservato e tempo di ciclo raccomandato → (i) = |(g) - (h)|/(g)</t>
  </si>
  <si>
    <t>FATTORE FREQUENZA</t>
  </si>
  <si>
    <t>art.dom.</t>
  </si>
  <si>
    <t>art.rec.</t>
  </si>
  <si>
    <t>Frequenza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</si>
  <si>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</si>
  <si>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22,5-27,4</t>
  </si>
  <si>
    <t>27,5-32,4</t>
  </si>
  <si>
    <t>32,5-37,4</t>
  </si>
  <si>
    <t>37,5-42,4</t>
  </si>
  <si>
    <t>42,5-47,4</t>
  </si>
  <si>
    <t>47,5-52,4</t>
  </si>
  <si>
    <t>52,5-57,4</t>
  </si>
  <si>
    <t>57,5-62,4</t>
  </si>
  <si>
    <t>62,5-67,4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</si>
  <si>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</si>
  <si>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Fattore FREQUENZA</t>
  </si>
  <si>
    <t>FATTORE FORZA</t>
  </si>
  <si>
    <t>Forza</t>
  </si>
  <si>
    <t>Forza di grado moderato (3-4 scala di Borg)</t>
  </si>
  <si>
    <t>Forza forte (5-6-7 scala di Borg)</t>
  </si>
  <si>
    <t>Forza intensa o quasi massimale (&gt;8 scala di Borg)</t>
  </si>
  <si>
    <t>Fattore FORZA</t>
  </si>
  <si>
    <t>da 2 a 8</t>
  </si>
  <si>
    <t>da 4 a 24</t>
  </si>
  <si>
    <t>da 6 a 32</t>
  </si>
  <si>
    <t>FATTORE POSTURA (si prende il massimo dei punteggi dei segmenti articolari e si somma la stereotipia)</t>
  </si>
  <si>
    <t>Postura dei segmenti articolari</t>
  </si>
  <si>
    <t>Spalla</t>
  </si>
  <si>
    <t>Gomito</t>
  </si>
  <si>
    <t>Polso</t>
  </si>
  <si>
    <t>Mano-dita</t>
  </si>
  <si>
    <t>Stereotipia</t>
  </si>
  <si>
    <t>Fattore POSTURA</t>
  </si>
  <si>
    <t>da 1 a 24</t>
  </si>
  <si>
    <t>FATTORE COMPLEMENTARI (da una sola risposta per blocco e somma)</t>
  </si>
  <si>
    <t>Presenza dei fattori complementari</t>
  </si>
  <si>
    <t>Fattori Fisici</t>
  </si>
  <si>
    <t>Fattori Organizzativi</t>
  </si>
  <si>
    <t>Fattori COMPLEMENTARI</t>
  </si>
  <si>
    <t>MOLTIPLICATORE RECUPERO</t>
  </si>
  <si>
    <t>N°ore senza adeguato recupero</t>
  </si>
  <si>
    <t>Moltiplicatore RECUPERO</t>
  </si>
  <si>
    <t>MOLTIPLICATORE DURATA NETTA</t>
  </si>
  <si>
    <t>Tempo netto di lavoro ripetitivo (minuti)</t>
  </si>
  <si>
    <t>60-120</t>
  </si>
  <si>
    <t>121-180</t>
  </si>
  <si>
    <t>181-240</t>
  </si>
  <si>
    <t>241-300</t>
  </si>
  <si>
    <t>301-360</t>
  </si>
  <si>
    <t>361-420</t>
  </si>
  <si>
    <t>421-480</t>
  </si>
  <si>
    <t>&gt;480</t>
  </si>
  <si>
    <t>Moltiplicatore DURATA</t>
  </si>
  <si>
    <t>Indice Check-list OCRA arto destro</t>
  </si>
  <si>
    <t>Indice Check-list OCRA arto sinistro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</si>
</sst>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sz val="9"/>
      <name val="Calibri"/>
      <family val="2"/>
    </font>
    <font>
      <sz val="8"/>
      <name val="Times New Roman"/>
      <family val="1"/>
    </font>
    <font>
      <b/>
      <sz val="10"/>
      <name val="Symbol"/>
      <family val="1"/>
    </font>
  </fonts>
  <fills count="5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4" fillId="0" borderId="0" xfId="0" quotePrefix="1" applyFont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3" fillId="0" borderId="3" xfId="0" applyFont="1" applyBorder="1"/>
    <xf numFmtId="0" fontId="2" fillId="0" borderId="1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/>
    <xf numFmtId="0" fontId="7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2" fontId="7" fillId="0" borderId="0" xfId="0" applyNumberFormat="1" applyFont="1"/>
    <xf numFmtId="0" fontId="6" fillId="3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2" fontId="7" fillId="0" borderId="10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0" xfId="0" quotePrefix="1" applyFont="1" applyAlignment="1">
      <alignment horizontal="right"/>
    </xf>
    <xf numFmtId="0" fontId="7" fillId="0" borderId="0" xfId="0" quotePrefix="1" applyFont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9DA3-9D70-B344-8E78-CDEA0A51FEFB}">
  <dimension ref="B1:P56"/>
  <sheetViews>
    <sheetView showGridLines="0" tabSelected="1" topLeftCell="B1" zoomScaleNormal="100" workbookViewId="0">
      <selection activeCell="B1" sqref="B1:P56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4" customWidth="1"/>
    <col min="258" max="258" width="20.6640625" customWidth="1"/>
    <col min="259" max="269" width="6.83203125" customWidth="1"/>
    <col min="270" max="270" width="5.33203125" customWidth="1"/>
    <col min="271" max="271" width="6.6640625" customWidth="1"/>
    <col min="272" max="272" width="6.33203125" customWidth="1"/>
    <col min="514" max="514" width="20.6640625" customWidth="1"/>
    <col min="515" max="525" width="6.83203125" customWidth="1"/>
    <col min="526" max="526" width="5.33203125" customWidth="1"/>
    <col min="527" max="527" width="6.6640625" customWidth="1"/>
    <col min="528" max="528" width="6.33203125" customWidth="1"/>
    <col min="770" max="770" width="20.6640625" customWidth="1"/>
    <col min="771" max="781" width="6.83203125" customWidth="1"/>
    <col min="782" max="782" width="5.33203125" customWidth="1"/>
    <col min="783" max="783" width="6.6640625" customWidth="1"/>
    <col min="784" max="784" width="6.33203125" customWidth="1"/>
    <col min="1026" max="1026" width="20.6640625" customWidth="1"/>
    <col min="1027" max="1037" width="6.83203125" customWidth="1"/>
    <col min="1038" max="1038" width="5.33203125" customWidth="1"/>
    <col min="1039" max="1039" width="6.6640625" customWidth="1"/>
    <col min="1040" max="1040" width="6.33203125" customWidth="1"/>
    <col min="1282" max="1282" width="20.6640625" customWidth="1"/>
    <col min="1283" max="1293" width="6.83203125" customWidth="1"/>
    <col min="1294" max="1294" width="5.33203125" customWidth="1"/>
    <col min="1295" max="1295" width="6.6640625" customWidth="1"/>
    <col min="1296" max="1296" width="6.33203125" customWidth="1"/>
    <col min="1538" max="1538" width="20.6640625" customWidth="1"/>
    <col min="1539" max="1549" width="6.83203125" customWidth="1"/>
    <col min="1550" max="1550" width="5.33203125" customWidth="1"/>
    <col min="1551" max="1551" width="6.6640625" customWidth="1"/>
    <col min="1552" max="1552" width="6.33203125" customWidth="1"/>
    <col min="1794" max="1794" width="20.6640625" customWidth="1"/>
    <col min="1795" max="1805" width="6.83203125" customWidth="1"/>
    <col min="1806" max="1806" width="5.33203125" customWidth="1"/>
    <col min="1807" max="1807" width="6.6640625" customWidth="1"/>
    <col min="1808" max="1808" width="6.33203125" customWidth="1"/>
    <col min="2050" max="2050" width="20.6640625" customWidth="1"/>
    <col min="2051" max="2061" width="6.83203125" customWidth="1"/>
    <col min="2062" max="2062" width="5.33203125" customWidth="1"/>
    <col min="2063" max="2063" width="6.6640625" customWidth="1"/>
    <col min="2064" max="2064" width="6.33203125" customWidth="1"/>
    <col min="2306" max="2306" width="20.6640625" customWidth="1"/>
    <col min="2307" max="2317" width="6.83203125" customWidth="1"/>
    <col min="2318" max="2318" width="5.33203125" customWidth="1"/>
    <col min="2319" max="2319" width="6.6640625" customWidth="1"/>
    <col min="2320" max="2320" width="6.33203125" customWidth="1"/>
    <col min="2562" max="2562" width="20.6640625" customWidth="1"/>
    <col min="2563" max="2573" width="6.83203125" customWidth="1"/>
    <col min="2574" max="2574" width="5.33203125" customWidth="1"/>
    <col min="2575" max="2575" width="6.6640625" customWidth="1"/>
    <col min="2576" max="2576" width="6.33203125" customWidth="1"/>
    <col min="2818" max="2818" width="20.6640625" customWidth="1"/>
    <col min="2819" max="2829" width="6.83203125" customWidth="1"/>
    <col min="2830" max="2830" width="5.33203125" customWidth="1"/>
    <col min="2831" max="2831" width="6.6640625" customWidth="1"/>
    <col min="2832" max="2832" width="6.33203125" customWidth="1"/>
    <col min="3074" max="3074" width="20.6640625" customWidth="1"/>
    <col min="3075" max="3085" width="6.83203125" customWidth="1"/>
    <col min="3086" max="3086" width="5.33203125" customWidth="1"/>
    <col min="3087" max="3087" width="6.6640625" customWidth="1"/>
    <col min="3088" max="3088" width="6.33203125" customWidth="1"/>
    <col min="3330" max="3330" width="20.6640625" customWidth="1"/>
    <col min="3331" max="3341" width="6.83203125" customWidth="1"/>
    <col min="3342" max="3342" width="5.33203125" customWidth="1"/>
    <col min="3343" max="3343" width="6.6640625" customWidth="1"/>
    <col min="3344" max="3344" width="6.33203125" customWidth="1"/>
    <col min="3586" max="3586" width="20.6640625" customWidth="1"/>
    <col min="3587" max="3597" width="6.83203125" customWidth="1"/>
    <col min="3598" max="3598" width="5.33203125" customWidth="1"/>
    <col min="3599" max="3599" width="6.6640625" customWidth="1"/>
    <col min="3600" max="3600" width="6.33203125" customWidth="1"/>
    <col min="3842" max="3842" width="20.6640625" customWidth="1"/>
    <col min="3843" max="3853" width="6.83203125" customWidth="1"/>
    <col min="3854" max="3854" width="5.33203125" customWidth="1"/>
    <col min="3855" max="3855" width="6.6640625" customWidth="1"/>
    <col min="3856" max="3856" width="6.33203125" customWidth="1"/>
    <col min="4098" max="4098" width="20.6640625" customWidth="1"/>
    <col min="4099" max="4109" width="6.83203125" customWidth="1"/>
    <col min="4110" max="4110" width="5.33203125" customWidth="1"/>
    <col min="4111" max="4111" width="6.6640625" customWidth="1"/>
    <col min="4112" max="4112" width="6.33203125" customWidth="1"/>
    <col min="4354" max="4354" width="20.6640625" customWidth="1"/>
    <col min="4355" max="4365" width="6.83203125" customWidth="1"/>
    <col min="4366" max="4366" width="5.33203125" customWidth="1"/>
    <col min="4367" max="4367" width="6.6640625" customWidth="1"/>
    <col min="4368" max="4368" width="6.33203125" customWidth="1"/>
    <col min="4610" max="4610" width="20.6640625" customWidth="1"/>
    <col min="4611" max="4621" width="6.83203125" customWidth="1"/>
    <col min="4622" max="4622" width="5.33203125" customWidth="1"/>
    <col min="4623" max="4623" width="6.6640625" customWidth="1"/>
    <col min="4624" max="4624" width="6.33203125" customWidth="1"/>
    <col min="4866" max="4866" width="20.6640625" customWidth="1"/>
    <col min="4867" max="4877" width="6.83203125" customWidth="1"/>
    <col min="4878" max="4878" width="5.33203125" customWidth="1"/>
    <col min="4879" max="4879" width="6.6640625" customWidth="1"/>
    <col min="4880" max="4880" width="6.33203125" customWidth="1"/>
    <col min="5122" max="5122" width="20.6640625" customWidth="1"/>
    <col min="5123" max="5133" width="6.83203125" customWidth="1"/>
    <col min="5134" max="5134" width="5.33203125" customWidth="1"/>
    <col min="5135" max="5135" width="6.6640625" customWidth="1"/>
    <col min="5136" max="5136" width="6.33203125" customWidth="1"/>
    <col min="5378" max="5378" width="20.6640625" customWidth="1"/>
    <col min="5379" max="5389" width="6.83203125" customWidth="1"/>
    <col min="5390" max="5390" width="5.33203125" customWidth="1"/>
    <col min="5391" max="5391" width="6.6640625" customWidth="1"/>
    <col min="5392" max="5392" width="6.33203125" customWidth="1"/>
    <col min="5634" max="5634" width="20.6640625" customWidth="1"/>
    <col min="5635" max="5645" width="6.83203125" customWidth="1"/>
    <col min="5646" max="5646" width="5.33203125" customWidth="1"/>
    <col min="5647" max="5647" width="6.6640625" customWidth="1"/>
    <col min="5648" max="5648" width="6.33203125" customWidth="1"/>
    <col min="5890" max="5890" width="20.6640625" customWidth="1"/>
    <col min="5891" max="5901" width="6.83203125" customWidth="1"/>
    <col min="5902" max="5902" width="5.33203125" customWidth="1"/>
    <col min="5903" max="5903" width="6.6640625" customWidth="1"/>
    <col min="5904" max="5904" width="6.33203125" customWidth="1"/>
    <col min="6146" max="6146" width="20.6640625" customWidth="1"/>
    <col min="6147" max="6157" width="6.83203125" customWidth="1"/>
    <col min="6158" max="6158" width="5.33203125" customWidth="1"/>
    <col min="6159" max="6159" width="6.6640625" customWidth="1"/>
    <col min="6160" max="6160" width="6.33203125" customWidth="1"/>
    <col min="6402" max="6402" width="20.6640625" customWidth="1"/>
    <col min="6403" max="6413" width="6.83203125" customWidth="1"/>
    <col min="6414" max="6414" width="5.33203125" customWidth="1"/>
    <col min="6415" max="6415" width="6.6640625" customWidth="1"/>
    <col min="6416" max="6416" width="6.33203125" customWidth="1"/>
    <col min="6658" max="6658" width="20.6640625" customWidth="1"/>
    <col min="6659" max="6669" width="6.83203125" customWidth="1"/>
    <col min="6670" max="6670" width="5.33203125" customWidth="1"/>
    <col min="6671" max="6671" width="6.6640625" customWidth="1"/>
    <col min="6672" max="6672" width="6.33203125" customWidth="1"/>
    <col min="6914" max="6914" width="20.6640625" customWidth="1"/>
    <col min="6915" max="6925" width="6.83203125" customWidth="1"/>
    <col min="6926" max="6926" width="5.33203125" customWidth="1"/>
    <col min="6927" max="6927" width="6.6640625" customWidth="1"/>
    <col min="6928" max="6928" width="6.33203125" customWidth="1"/>
    <col min="7170" max="7170" width="20.6640625" customWidth="1"/>
    <col min="7171" max="7181" width="6.83203125" customWidth="1"/>
    <col min="7182" max="7182" width="5.33203125" customWidth="1"/>
    <col min="7183" max="7183" width="6.6640625" customWidth="1"/>
    <col min="7184" max="7184" width="6.33203125" customWidth="1"/>
    <col min="7426" max="7426" width="20.6640625" customWidth="1"/>
    <col min="7427" max="7437" width="6.83203125" customWidth="1"/>
    <col min="7438" max="7438" width="5.33203125" customWidth="1"/>
    <col min="7439" max="7439" width="6.6640625" customWidth="1"/>
    <col min="7440" max="7440" width="6.33203125" customWidth="1"/>
    <col min="7682" max="7682" width="20.6640625" customWidth="1"/>
    <col min="7683" max="7693" width="6.83203125" customWidth="1"/>
    <col min="7694" max="7694" width="5.33203125" customWidth="1"/>
    <col min="7695" max="7695" width="6.6640625" customWidth="1"/>
    <col min="7696" max="7696" width="6.33203125" customWidth="1"/>
    <col min="7938" max="7938" width="20.6640625" customWidth="1"/>
    <col min="7939" max="7949" width="6.83203125" customWidth="1"/>
    <col min="7950" max="7950" width="5.33203125" customWidth="1"/>
    <col min="7951" max="7951" width="6.6640625" customWidth="1"/>
    <col min="7952" max="7952" width="6.33203125" customWidth="1"/>
    <col min="8194" max="8194" width="20.6640625" customWidth="1"/>
    <col min="8195" max="8205" width="6.83203125" customWidth="1"/>
    <col min="8206" max="8206" width="5.33203125" customWidth="1"/>
    <col min="8207" max="8207" width="6.6640625" customWidth="1"/>
    <col min="8208" max="8208" width="6.33203125" customWidth="1"/>
    <col min="8450" max="8450" width="20.6640625" customWidth="1"/>
    <col min="8451" max="8461" width="6.83203125" customWidth="1"/>
    <col min="8462" max="8462" width="5.33203125" customWidth="1"/>
    <col min="8463" max="8463" width="6.6640625" customWidth="1"/>
    <col min="8464" max="8464" width="6.33203125" customWidth="1"/>
    <col min="8706" max="8706" width="20.6640625" customWidth="1"/>
    <col min="8707" max="8717" width="6.83203125" customWidth="1"/>
    <col min="8718" max="8718" width="5.33203125" customWidth="1"/>
    <col min="8719" max="8719" width="6.6640625" customWidth="1"/>
    <col min="8720" max="8720" width="6.33203125" customWidth="1"/>
    <col min="8962" max="8962" width="20.6640625" customWidth="1"/>
    <col min="8963" max="8973" width="6.83203125" customWidth="1"/>
    <col min="8974" max="8974" width="5.33203125" customWidth="1"/>
    <col min="8975" max="8975" width="6.6640625" customWidth="1"/>
    <col min="8976" max="8976" width="6.33203125" customWidth="1"/>
    <col min="9218" max="9218" width="20.6640625" customWidth="1"/>
    <col min="9219" max="9229" width="6.83203125" customWidth="1"/>
    <col min="9230" max="9230" width="5.33203125" customWidth="1"/>
    <col min="9231" max="9231" width="6.6640625" customWidth="1"/>
    <col min="9232" max="9232" width="6.33203125" customWidth="1"/>
    <col min="9474" max="9474" width="20.6640625" customWidth="1"/>
    <col min="9475" max="9485" width="6.83203125" customWidth="1"/>
    <col min="9486" max="9486" width="5.33203125" customWidth="1"/>
    <col min="9487" max="9487" width="6.6640625" customWidth="1"/>
    <col min="9488" max="9488" width="6.33203125" customWidth="1"/>
    <col min="9730" max="9730" width="20.6640625" customWidth="1"/>
    <col min="9731" max="9741" width="6.83203125" customWidth="1"/>
    <col min="9742" max="9742" width="5.33203125" customWidth="1"/>
    <col min="9743" max="9743" width="6.6640625" customWidth="1"/>
    <col min="9744" max="9744" width="6.33203125" customWidth="1"/>
    <col min="9986" max="9986" width="20.6640625" customWidth="1"/>
    <col min="9987" max="9997" width="6.83203125" customWidth="1"/>
    <col min="9998" max="9998" width="5.33203125" customWidth="1"/>
    <col min="9999" max="9999" width="6.6640625" customWidth="1"/>
    <col min="10000" max="10000" width="6.33203125" customWidth="1"/>
    <col min="10242" max="10242" width="20.6640625" customWidth="1"/>
    <col min="10243" max="10253" width="6.83203125" customWidth="1"/>
    <col min="10254" max="10254" width="5.33203125" customWidth="1"/>
    <col min="10255" max="10255" width="6.6640625" customWidth="1"/>
    <col min="10256" max="10256" width="6.33203125" customWidth="1"/>
    <col min="10498" max="10498" width="20.6640625" customWidth="1"/>
    <col min="10499" max="10509" width="6.83203125" customWidth="1"/>
    <col min="10510" max="10510" width="5.33203125" customWidth="1"/>
    <col min="10511" max="10511" width="6.6640625" customWidth="1"/>
    <col min="10512" max="10512" width="6.33203125" customWidth="1"/>
    <col min="10754" max="10754" width="20.6640625" customWidth="1"/>
    <col min="10755" max="10765" width="6.83203125" customWidth="1"/>
    <col min="10766" max="10766" width="5.33203125" customWidth="1"/>
    <col min="10767" max="10767" width="6.6640625" customWidth="1"/>
    <col min="10768" max="10768" width="6.33203125" customWidth="1"/>
    <col min="11010" max="11010" width="20.6640625" customWidth="1"/>
    <col min="11011" max="11021" width="6.83203125" customWidth="1"/>
    <col min="11022" max="11022" width="5.33203125" customWidth="1"/>
    <col min="11023" max="11023" width="6.6640625" customWidth="1"/>
    <col min="11024" max="11024" width="6.33203125" customWidth="1"/>
    <col min="11266" max="11266" width="20.6640625" customWidth="1"/>
    <col min="11267" max="11277" width="6.83203125" customWidth="1"/>
    <col min="11278" max="11278" width="5.33203125" customWidth="1"/>
    <col min="11279" max="11279" width="6.6640625" customWidth="1"/>
    <col min="11280" max="11280" width="6.33203125" customWidth="1"/>
    <col min="11522" max="11522" width="20.6640625" customWidth="1"/>
    <col min="11523" max="11533" width="6.83203125" customWidth="1"/>
    <col min="11534" max="11534" width="5.33203125" customWidth="1"/>
    <col min="11535" max="11535" width="6.6640625" customWidth="1"/>
    <col min="11536" max="11536" width="6.33203125" customWidth="1"/>
    <col min="11778" max="11778" width="20.6640625" customWidth="1"/>
    <col min="11779" max="11789" width="6.83203125" customWidth="1"/>
    <col min="11790" max="11790" width="5.33203125" customWidth="1"/>
    <col min="11791" max="11791" width="6.6640625" customWidth="1"/>
    <col min="11792" max="11792" width="6.33203125" customWidth="1"/>
    <col min="12034" max="12034" width="20.6640625" customWidth="1"/>
    <col min="12035" max="12045" width="6.83203125" customWidth="1"/>
    <col min="12046" max="12046" width="5.33203125" customWidth="1"/>
    <col min="12047" max="12047" width="6.6640625" customWidth="1"/>
    <col min="12048" max="12048" width="6.33203125" customWidth="1"/>
    <col min="12290" max="12290" width="20.6640625" customWidth="1"/>
    <col min="12291" max="12301" width="6.83203125" customWidth="1"/>
    <col min="12302" max="12302" width="5.33203125" customWidth="1"/>
    <col min="12303" max="12303" width="6.6640625" customWidth="1"/>
    <col min="12304" max="12304" width="6.33203125" customWidth="1"/>
    <col min="12546" max="12546" width="20.6640625" customWidth="1"/>
    <col min="12547" max="12557" width="6.83203125" customWidth="1"/>
    <col min="12558" max="12558" width="5.33203125" customWidth="1"/>
    <col min="12559" max="12559" width="6.6640625" customWidth="1"/>
    <col min="12560" max="12560" width="6.33203125" customWidth="1"/>
    <col min="12802" max="12802" width="20.6640625" customWidth="1"/>
    <col min="12803" max="12813" width="6.83203125" customWidth="1"/>
    <col min="12814" max="12814" width="5.33203125" customWidth="1"/>
    <col min="12815" max="12815" width="6.6640625" customWidth="1"/>
    <col min="12816" max="12816" width="6.33203125" customWidth="1"/>
    <col min="13058" max="13058" width="20.6640625" customWidth="1"/>
    <col min="13059" max="13069" width="6.83203125" customWidth="1"/>
    <col min="13070" max="13070" width="5.33203125" customWidth="1"/>
    <col min="13071" max="13071" width="6.6640625" customWidth="1"/>
    <col min="13072" max="13072" width="6.33203125" customWidth="1"/>
    <col min="13314" max="13314" width="20.6640625" customWidth="1"/>
    <col min="13315" max="13325" width="6.83203125" customWidth="1"/>
    <col min="13326" max="13326" width="5.33203125" customWidth="1"/>
    <col min="13327" max="13327" width="6.6640625" customWidth="1"/>
    <col min="13328" max="13328" width="6.33203125" customWidth="1"/>
    <col min="13570" max="13570" width="20.6640625" customWidth="1"/>
    <col min="13571" max="13581" width="6.83203125" customWidth="1"/>
    <col min="13582" max="13582" width="5.33203125" customWidth="1"/>
    <col min="13583" max="13583" width="6.6640625" customWidth="1"/>
    <col min="13584" max="13584" width="6.33203125" customWidth="1"/>
    <col min="13826" max="13826" width="20.6640625" customWidth="1"/>
    <col min="13827" max="13837" width="6.83203125" customWidth="1"/>
    <col min="13838" max="13838" width="5.33203125" customWidth="1"/>
    <col min="13839" max="13839" width="6.6640625" customWidth="1"/>
    <col min="13840" max="13840" width="6.33203125" customWidth="1"/>
    <col min="14082" max="14082" width="20.6640625" customWidth="1"/>
    <col min="14083" max="14093" width="6.83203125" customWidth="1"/>
    <col min="14094" max="14094" width="5.33203125" customWidth="1"/>
    <col min="14095" max="14095" width="6.6640625" customWidth="1"/>
    <col min="14096" max="14096" width="6.33203125" customWidth="1"/>
    <col min="14338" max="14338" width="20.6640625" customWidth="1"/>
    <col min="14339" max="14349" width="6.83203125" customWidth="1"/>
    <col min="14350" max="14350" width="5.33203125" customWidth="1"/>
    <col min="14351" max="14351" width="6.6640625" customWidth="1"/>
    <col min="14352" max="14352" width="6.33203125" customWidth="1"/>
    <col min="14594" max="14594" width="20.6640625" customWidth="1"/>
    <col min="14595" max="14605" width="6.83203125" customWidth="1"/>
    <col min="14606" max="14606" width="5.33203125" customWidth="1"/>
    <col min="14607" max="14607" width="6.6640625" customWidth="1"/>
    <col min="14608" max="14608" width="6.33203125" customWidth="1"/>
    <col min="14850" max="14850" width="20.6640625" customWidth="1"/>
    <col min="14851" max="14861" width="6.83203125" customWidth="1"/>
    <col min="14862" max="14862" width="5.33203125" customWidth="1"/>
    <col min="14863" max="14863" width="6.6640625" customWidth="1"/>
    <col min="14864" max="14864" width="6.33203125" customWidth="1"/>
    <col min="15106" max="15106" width="20.6640625" customWidth="1"/>
    <col min="15107" max="15117" width="6.83203125" customWidth="1"/>
    <col min="15118" max="15118" width="5.33203125" customWidth="1"/>
    <col min="15119" max="15119" width="6.6640625" customWidth="1"/>
    <col min="15120" max="15120" width="6.33203125" customWidth="1"/>
    <col min="15362" max="15362" width="20.6640625" customWidth="1"/>
    <col min="15363" max="15373" width="6.83203125" customWidth="1"/>
    <col min="15374" max="15374" width="5.33203125" customWidth="1"/>
    <col min="15375" max="15375" width="6.6640625" customWidth="1"/>
    <col min="15376" max="15376" width="6.33203125" customWidth="1"/>
    <col min="15618" max="15618" width="20.6640625" customWidth="1"/>
    <col min="15619" max="15629" width="6.83203125" customWidth="1"/>
    <col min="15630" max="15630" width="5.33203125" customWidth="1"/>
    <col min="15631" max="15631" width="6.6640625" customWidth="1"/>
    <col min="15632" max="15632" width="6.33203125" customWidth="1"/>
    <col min="15874" max="15874" width="20.6640625" customWidth="1"/>
    <col min="15875" max="15885" width="6.83203125" customWidth="1"/>
    <col min="15886" max="15886" width="5.33203125" customWidth="1"/>
    <col min="15887" max="15887" width="6.6640625" customWidth="1"/>
    <col min="15888" max="15888" width="6.33203125" customWidth="1"/>
    <col min="16130" max="16130" width="20.6640625" customWidth="1"/>
    <col min="16131" max="16141" width="6.83203125" customWidth="1"/>
    <col min="16142" max="16142" width="5.33203125" customWidth="1"/>
    <col min="16143" max="16143" width="6.6640625" customWidth="1"/>
    <col min="16144" max="16144" width="6.33203125" customWidth="1"/>
  </cols>
  <sheetData>
    <row r="1" spans="2:16" s="2" customFormat="1" ht="18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s="2" customFormat="1" ht="9.75" customHeight="1" thickBot="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2:16" s="2" customFormat="1" ht="19" thickBot="1" x14ac:dyDescent="0.25">
      <c r="B3" s="6" t="s">
        <v>1</v>
      </c>
      <c r="C3" s="7"/>
      <c r="D3" s="7"/>
      <c r="E3" s="7"/>
      <c r="F3" s="7"/>
      <c r="G3" s="7"/>
      <c r="H3" s="7"/>
      <c r="I3" s="7"/>
      <c r="J3" s="8"/>
      <c r="K3" s="8"/>
      <c r="L3" s="8"/>
      <c r="M3" s="9" t="s">
        <v>2</v>
      </c>
      <c r="N3" s="10"/>
      <c r="O3" s="11"/>
      <c r="P3" s="12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15" t="s">
        <v>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>
        <v>480</v>
      </c>
      <c r="P5" s="18"/>
    </row>
    <row r="6" spans="2:16" ht="14" thickBot="1" x14ac:dyDescent="0.2">
      <c r="B6" s="15" t="s">
        <v>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>
        <v>460</v>
      </c>
      <c r="P6" s="18"/>
    </row>
    <row r="7" spans="2:16" ht="14" thickBot="1" x14ac:dyDescent="0.2">
      <c r="B7" s="15" t="s">
        <v>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>
        <v>220</v>
      </c>
      <c r="P7" s="18"/>
    </row>
    <row r="8" spans="2:16" ht="14" thickBot="1" x14ac:dyDescent="0.2">
      <c r="B8" s="15" t="s">
        <v>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>
        <v>2</v>
      </c>
      <c r="P8" s="18"/>
    </row>
    <row r="9" spans="2:16" ht="14" thickBot="1" x14ac:dyDescent="0.2">
      <c r="B9" s="15" t="s">
        <v>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>
        <v>20</v>
      </c>
      <c r="P9" s="18"/>
    </row>
    <row r="10" spans="2:16" ht="14" thickBot="1" x14ac:dyDescent="0.2">
      <c r="B10" s="19" t="s">
        <v>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5"/>
      <c r="O10" s="17">
        <v>0</v>
      </c>
      <c r="P10" s="18"/>
    </row>
    <row r="11" spans="2:16" ht="27.5" customHeight="1" thickBot="1" x14ac:dyDescent="0.2">
      <c r="B11" s="20" t="s">
        <v>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7"/>
      <c r="P11" s="18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15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  <c r="P13" s="18"/>
    </row>
    <row r="14" spans="2:16" ht="14" thickBot="1" x14ac:dyDescent="0.2">
      <c r="B14" s="15" t="s">
        <v>11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  <c r="P14" s="18"/>
    </row>
    <row r="15" spans="2:16" ht="14" thickBot="1" x14ac:dyDescent="0.2">
      <c r="B15" s="15" t="s">
        <v>12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  <c r="P15" s="18"/>
    </row>
    <row r="16" spans="2:16" ht="14" thickBot="1" x14ac:dyDescent="0.2">
      <c r="B16" s="15" t="s">
        <v>13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18"/>
    </row>
    <row r="17" spans="2:16" ht="17" thickBot="1" x14ac:dyDescent="0.2">
      <c r="B17" s="22" t="s">
        <v>14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>
        <v>240</v>
      </c>
      <c r="P17" s="25"/>
    </row>
    <row r="18" spans="2:16" ht="17" thickBot="1" x14ac:dyDescent="0.2">
      <c r="B18" s="22" t="s">
        <v>15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6"/>
      <c r="P18" s="27"/>
    </row>
    <row r="19" spans="2:16" ht="17" thickBot="1" x14ac:dyDescent="0.2">
      <c r="B19" s="22" t="s">
        <v>16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8"/>
      <c r="P19" s="29"/>
    </row>
    <row r="20" spans="2:16" x14ac:dyDescent="0.15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31"/>
    </row>
    <row r="21" spans="2:16" ht="13.25" customHeight="1" x14ac:dyDescent="0.15">
      <c r="B21" s="32" t="s">
        <v>17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3" t="s">
        <v>18</v>
      </c>
      <c r="P21" s="33" t="s">
        <v>19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34"/>
    </row>
    <row r="23" spans="2:16" ht="30" customHeight="1" x14ac:dyDescent="0.15">
      <c r="B23" s="35" t="s">
        <v>20</v>
      </c>
      <c r="C23" s="36" t="s">
        <v>21</v>
      </c>
      <c r="D23" s="36" t="s">
        <v>22</v>
      </c>
      <c r="E23" s="36" t="s">
        <v>23</v>
      </c>
      <c r="F23" s="36" t="s">
        <v>24</v>
      </c>
      <c r="G23" s="36" t="s">
        <v>25</v>
      </c>
      <c r="H23" s="36" t="s">
        <v>26</v>
      </c>
      <c r="I23" s="36" t="s">
        <v>27</v>
      </c>
      <c r="J23" s="36" t="s">
        <v>28</v>
      </c>
      <c r="K23" s="36" t="s">
        <v>29</v>
      </c>
      <c r="L23" s="36" t="s">
        <v>30</v>
      </c>
      <c r="M23" s="36" t="s">
        <v>31</v>
      </c>
      <c r="N23" s="37"/>
      <c r="O23" s="38">
        <v>5</v>
      </c>
      <c r="P23" s="38">
        <v>0</v>
      </c>
    </row>
    <row r="24" spans="2:16" ht="14" thickBot="1" x14ac:dyDescent="0.2">
      <c r="B24" s="39" t="s">
        <v>32</v>
      </c>
      <c r="C24" s="40">
        <v>0</v>
      </c>
      <c r="D24" s="40">
        <v>0.5</v>
      </c>
      <c r="E24" s="40">
        <v>1</v>
      </c>
      <c r="F24" s="40">
        <v>2</v>
      </c>
      <c r="G24" s="40">
        <v>4</v>
      </c>
      <c r="H24" s="40">
        <v>5</v>
      </c>
      <c r="I24" s="40">
        <v>6</v>
      </c>
      <c r="J24" s="40">
        <v>7</v>
      </c>
      <c r="K24" s="40">
        <v>8</v>
      </c>
      <c r="L24" s="40">
        <v>9</v>
      </c>
      <c r="M24" s="40">
        <v>10</v>
      </c>
      <c r="N24" s="41"/>
      <c r="O24" s="42"/>
      <c r="P24" s="42"/>
    </row>
    <row r="25" spans="2:16" x14ac:dyDescent="0.15">
      <c r="B25" s="43"/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13"/>
    </row>
    <row r="26" spans="2:16" x14ac:dyDescent="0.15">
      <c r="B26" s="45" t="s">
        <v>33</v>
      </c>
      <c r="C26" s="46"/>
      <c r="D26" s="46"/>
      <c r="E26" s="46"/>
      <c r="F26" s="46"/>
      <c r="G26" s="46"/>
      <c r="H26" s="46"/>
      <c r="I26" s="46"/>
      <c r="J26" s="46"/>
      <c r="K26" s="47"/>
      <c r="L26" s="47"/>
      <c r="M26" s="47"/>
      <c r="N26" s="47"/>
      <c r="O26" s="33" t="s">
        <v>18</v>
      </c>
      <c r="P26" s="33" t="s">
        <v>19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34"/>
    </row>
    <row r="28" spans="2:16" ht="33.5" customHeight="1" x14ac:dyDescent="0.15">
      <c r="B28" s="35" t="s">
        <v>34</v>
      </c>
      <c r="C28" s="48" t="s">
        <v>35</v>
      </c>
      <c r="D28" s="49"/>
      <c r="E28" s="48" t="s">
        <v>36</v>
      </c>
      <c r="F28" s="49"/>
      <c r="G28" s="48" t="s">
        <v>37</v>
      </c>
      <c r="H28" s="49"/>
      <c r="I28" s="50"/>
      <c r="J28" s="50"/>
      <c r="K28" s="51"/>
      <c r="L28" s="51"/>
      <c r="M28" s="51"/>
      <c r="N28" s="51"/>
      <c r="O28" s="38">
        <v>2</v>
      </c>
      <c r="P28" s="38">
        <v>6</v>
      </c>
    </row>
    <row r="29" spans="2:16" ht="14" thickBot="1" x14ac:dyDescent="0.2">
      <c r="B29" s="39" t="s">
        <v>38</v>
      </c>
      <c r="C29" s="52" t="s">
        <v>39</v>
      </c>
      <c r="D29" s="53"/>
      <c r="E29" s="52" t="s">
        <v>40</v>
      </c>
      <c r="F29" s="53"/>
      <c r="G29" s="52" t="s">
        <v>41</v>
      </c>
      <c r="H29" s="53"/>
      <c r="I29" s="41"/>
      <c r="J29" s="41"/>
      <c r="K29" s="44"/>
      <c r="L29" s="44"/>
      <c r="M29" s="44"/>
      <c r="N29" s="44"/>
      <c r="O29" s="42"/>
      <c r="P29" s="42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2" t="s">
        <v>42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 t="s">
        <v>18</v>
      </c>
      <c r="P31" s="33" t="s">
        <v>19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34"/>
    </row>
    <row r="33" spans="2:16" ht="30" customHeight="1" x14ac:dyDescent="0.15">
      <c r="B33" s="35" t="s">
        <v>43</v>
      </c>
      <c r="C33" s="54" t="s">
        <v>44</v>
      </c>
      <c r="D33" s="54"/>
      <c r="E33" s="54" t="s">
        <v>45</v>
      </c>
      <c r="F33" s="54"/>
      <c r="G33" s="54" t="s">
        <v>46</v>
      </c>
      <c r="H33" s="54"/>
      <c r="I33" s="54" t="s">
        <v>47</v>
      </c>
      <c r="J33" s="54"/>
      <c r="K33" s="37"/>
      <c r="L33" s="55" t="s">
        <v>48</v>
      </c>
      <c r="M33" s="55"/>
      <c r="N33" s="37"/>
      <c r="O33" s="38">
        <v>7</v>
      </c>
      <c r="P33" s="38">
        <v>5.5</v>
      </c>
    </row>
    <row r="34" spans="2:16" ht="14" thickBot="1" x14ac:dyDescent="0.2">
      <c r="B34" s="39" t="s">
        <v>49</v>
      </c>
      <c r="C34" s="52" t="s">
        <v>50</v>
      </c>
      <c r="D34" s="53"/>
      <c r="E34" s="52" t="s">
        <v>39</v>
      </c>
      <c r="F34" s="53"/>
      <c r="G34" s="52" t="s">
        <v>39</v>
      </c>
      <c r="H34" s="53"/>
      <c r="I34" s="52" t="s">
        <v>39</v>
      </c>
      <c r="J34" s="53"/>
      <c r="K34" s="56"/>
      <c r="L34" s="40">
        <v>1.5</v>
      </c>
      <c r="M34" s="40">
        <v>3</v>
      </c>
      <c r="N34" s="57"/>
      <c r="O34" s="42"/>
      <c r="P34" s="42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x14ac:dyDescent="0.15">
      <c r="B36" s="32" t="s">
        <v>51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13"/>
    </row>
    <row r="37" spans="2:16" ht="6" customHeight="1" thickBot="1" x14ac:dyDescent="0.2"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13"/>
    </row>
    <row r="38" spans="2:16" ht="30" customHeight="1" x14ac:dyDescent="0.15">
      <c r="B38" s="59" t="s">
        <v>52</v>
      </c>
      <c r="C38" s="54" t="s">
        <v>53</v>
      </c>
      <c r="D38" s="54"/>
      <c r="E38" s="60" t="s">
        <v>54</v>
      </c>
      <c r="F38" s="61"/>
      <c r="G38" s="13"/>
      <c r="H38" s="13"/>
      <c r="I38" s="13"/>
      <c r="J38" s="13"/>
      <c r="K38" s="13"/>
      <c r="L38" s="13"/>
      <c r="M38" s="13"/>
      <c r="N38" s="13"/>
      <c r="O38" s="62">
        <v>2</v>
      </c>
      <c r="P38" s="63"/>
    </row>
    <row r="39" spans="2:16" ht="14" thickBot="1" x14ac:dyDescent="0.2">
      <c r="B39" s="64" t="s">
        <v>55</v>
      </c>
      <c r="C39" s="40">
        <v>2</v>
      </c>
      <c r="D39" s="40">
        <v>4</v>
      </c>
      <c r="E39" s="40">
        <v>1</v>
      </c>
      <c r="F39" s="40">
        <v>2</v>
      </c>
      <c r="G39" s="13"/>
      <c r="H39" s="13"/>
      <c r="I39" s="13"/>
      <c r="J39" s="13"/>
      <c r="K39" s="13"/>
      <c r="L39" s="13"/>
      <c r="M39" s="13"/>
      <c r="N39" s="13"/>
      <c r="O39" s="65"/>
      <c r="P39" s="6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45" t="s">
        <v>56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67"/>
      <c r="P41" s="68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34"/>
    </row>
    <row r="43" spans="2:16" s="14" customFormat="1" ht="28" x14ac:dyDescent="0.15">
      <c r="B43" s="69" t="s">
        <v>57</v>
      </c>
      <c r="C43" s="36">
        <v>0</v>
      </c>
      <c r="D43" s="36">
        <v>1</v>
      </c>
      <c r="E43" s="36">
        <v>2</v>
      </c>
      <c r="F43" s="36">
        <v>3</v>
      </c>
      <c r="G43" s="36">
        <v>4</v>
      </c>
      <c r="H43" s="36">
        <v>5</v>
      </c>
      <c r="I43" s="36">
        <v>6</v>
      </c>
      <c r="J43" s="36">
        <v>7</v>
      </c>
      <c r="K43" s="36">
        <v>8</v>
      </c>
      <c r="L43" s="13"/>
      <c r="M43" s="13"/>
      <c r="N43" s="13"/>
      <c r="O43" s="62">
        <v>1</v>
      </c>
      <c r="P43" s="63"/>
    </row>
    <row r="44" spans="2:16" s="14" customFormat="1" ht="14" thickBot="1" x14ac:dyDescent="0.2">
      <c r="B44" s="39" t="s">
        <v>58</v>
      </c>
      <c r="C44" s="40">
        <v>1</v>
      </c>
      <c r="D44" s="40">
        <v>1.05</v>
      </c>
      <c r="E44" s="40">
        <v>1.1200000000000001</v>
      </c>
      <c r="F44" s="40">
        <v>1.2</v>
      </c>
      <c r="G44" s="40">
        <v>1.33</v>
      </c>
      <c r="H44" s="40">
        <v>1.48</v>
      </c>
      <c r="I44" s="40">
        <v>1.7</v>
      </c>
      <c r="J44" s="40">
        <v>2</v>
      </c>
      <c r="K44" s="40">
        <v>2.5</v>
      </c>
      <c r="L44" s="41"/>
      <c r="M44" s="41"/>
      <c r="N44" s="41"/>
      <c r="O44" s="65"/>
      <c r="P44" s="66"/>
    </row>
    <row r="45" spans="2:16" s="14" customFormat="1" x14ac:dyDescent="0.15">
      <c r="B45" s="70"/>
      <c r="C45" s="71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13"/>
    </row>
    <row r="46" spans="2:16" s="14" customFormat="1" x14ac:dyDescent="0.15">
      <c r="B46" s="45" t="s">
        <v>59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67"/>
    </row>
    <row r="47" spans="2:16" s="14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34"/>
    </row>
    <row r="48" spans="2:16" s="14" customFormat="1" ht="28" x14ac:dyDescent="0.15">
      <c r="B48" s="72" t="s">
        <v>60</v>
      </c>
      <c r="C48" s="36" t="s">
        <v>61</v>
      </c>
      <c r="D48" s="36" t="s">
        <v>62</v>
      </c>
      <c r="E48" s="36" t="s">
        <v>63</v>
      </c>
      <c r="F48" s="36" t="s">
        <v>64</v>
      </c>
      <c r="G48" s="36" t="s">
        <v>65</v>
      </c>
      <c r="H48" s="36" t="s">
        <v>66</v>
      </c>
      <c r="I48" s="36" t="s">
        <v>67</v>
      </c>
      <c r="J48" s="36" t="s">
        <v>68</v>
      </c>
      <c r="K48" s="13"/>
      <c r="L48" s="13"/>
      <c r="M48" s="13"/>
      <c r="N48" s="13"/>
      <c r="O48" s="62">
        <v>0.75</v>
      </c>
      <c r="P48" s="63"/>
    </row>
    <row r="49" spans="2:16" s="14" customFormat="1" ht="14" thickBot="1" x14ac:dyDescent="0.2">
      <c r="B49" s="64" t="s">
        <v>69</v>
      </c>
      <c r="C49" s="40">
        <v>0.5</v>
      </c>
      <c r="D49" s="40">
        <v>0.65</v>
      </c>
      <c r="E49" s="40">
        <v>0.75</v>
      </c>
      <c r="F49" s="40">
        <v>0.85</v>
      </c>
      <c r="G49" s="40">
        <v>0.92500000000000004</v>
      </c>
      <c r="H49" s="40">
        <v>0.95</v>
      </c>
      <c r="I49" s="40">
        <v>1</v>
      </c>
      <c r="J49" s="40">
        <v>1.5</v>
      </c>
      <c r="K49" s="41"/>
      <c r="L49" s="41"/>
      <c r="M49" s="41"/>
      <c r="N49" s="41"/>
      <c r="O49" s="65"/>
      <c r="P49" s="66"/>
    </row>
    <row r="50" spans="2:16" s="14" customFormat="1" x14ac:dyDescent="0.15">
      <c r="B50" s="71"/>
      <c r="C50" s="44"/>
      <c r="D50" s="44"/>
      <c r="E50" s="44"/>
      <c r="F50" s="44"/>
      <c r="G50" s="44"/>
      <c r="H50" s="44"/>
      <c r="I50" s="44"/>
      <c r="J50" s="13"/>
      <c r="K50" s="13"/>
      <c r="L50" s="13"/>
      <c r="M50" s="13"/>
      <c r="N50" s="13"/>
      <c r="O50" s="13"/>
    </row>
    <row r="51" spans="2:16" s="14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4" customFormat="1" ht="13.25" customHeight="1" x14ac:dyDescent="0.15">
      <c r="C52" s="13"/>
      <c r="D52" s="13"/>
      <c r="E52" s="13"/>
      <c r="F52" s="13"/>
      <c r="G52" s="13"/>
      <c r="H52" s="13"/>
      <c r="I52" s="13"/>
      <c r="J52" s="73" t="s">
        <v>70</v>
      </c>
      <c r="K52" s="74"/>
      <c r="L52" s="74"/>
      <c r="M52" s="75"/>
      <c r="O52" s="76">
        <f>((O23+O28+O33+O38)*O43*O48)</f>
        <v>12</v>
      </c>
      <c r="P52" s="77"/>
    </row>
    <row r="53" spans="2:16" s="14" customFormat="1" ht="13.75" customHeight="1" thickBot="1" x14ac:dyDescent="0.2">
      <c r="B53"/>
      <c r="C53"/>
      <c r="D53"/>
      <c r="E53"/>
      <c r="F53"/>
      <c r="G53"/>
      <c r="H53"/>
      <c r="I53"/>
      <c r="J53" s="78"/>
      <c r="K53" s="79"/>
      <c r="L53" s="79"/>
      <c r="M53" s="80"/>
      <c r="O53" s="81"/>
      <c r="P53" s="82"/>
    </row>
    <row r="54" spans="2:16" s="14" customFormat="1" ht="14" thickBot="1" x14ac:dyDescent="0.2">
      <c r="B54" s="83"/>
      <c r="C54"/>
      <c r="D54"/>
      <c r="E54"/>
      <c r="F54"/>
      <c r="G54"/>
      <c r="H54"/>
      <c r="I54"/>
      <c r="J54"/>
      <c r="K54"/>
      <c r="L54"/>
      <c r="M54"/>
      <c r="N54"/>
      <c r="O54" s="83"/>
    </row>
    <row r="55" spans="2:16" s="14" customFormat="1" ht="13.25" customHeight="1" x14ac:dyDescent="0.15">
      <c r="B55"/>
      <c r="C55"/>
      <c r="D55"/>
      <c r="E55"/>
      <c r="F55"/>
      <c r="G55"/>
      <c r="H55"/>
      <c r="I55"/>
      <c r="J55" s="73" t="s">
        <v>71</v>
      </c>
      <c r="K55" s="74"/>
      <c r="L55" s="74"/>
      <c r="M55" s="75"/>
      <c r="O55" s="76">
        <f>((P23+P28+P33+O38)*O43*O48)</f>
        <v>10.125</v>
      </c>
      <c r="P55" s="77"/>
    </row>
    <row r="56" spans="2:16" s="14" customFormat="1" ht="13.75" customHeight="1" thickBot="1" x14ac:dyDescent="0.2">
      <c r="B56"/>
      <c r="C56"/>
      <c r="D56"/>
      <c r="E56"/>
      <c r="F56"/>
      <c r="G56"/>
      <c r="H56"/>
      <c r="I56"/>
      <c r="J56" s="78"/>
      <c r="K56" s="79"/>
      <c r="L56" s="79"/>
      <c r="M56" s="80"/>
      <c r="O56" s="81"/>
      <c r="P56" s="82"/>
    </row>
  </sheetData>
  <mergeCells count="67">
    <mergeCell ref="B46:N46"/>
    <mergeCell ref="O48:P49"/>
    <mergeCell ref="J52:M53"/>
    <mergeCell ref="O52:P53"/>
    <mergeCell ref="J55:M56"/>
    <mergeCell ref="O55:P56"/>
    <mergeCell ref="B36:N36"/>
    <mergeCell ref="C38:D38"/>
    <mergeCell ref="E38:F38"/>
    <mergeCell ref="O38:P39"/>
    <mergeCell ref="B41:N41"/>
    <mergeCell ref="O43:P44"/>
    <mergeCell ref="O33:O34"/>
    <mergeCell ref="P33:P34"/>
    <mergeCell ref="C34:D34"/>
    <mergeCell ref="E34:F34"/>
    <mergeCell ref="G34:H34"/>
    <mergeCell ref="I34:J34"/>
    <mergeCell ref="E29:F29"/>
    <mergeCell ref="G29:H29"/>
    <mergeCell ref="B31:N31"/>
    <mergeCell ref="C33:D33"/>
    <mergeCell ref="E33:F33"/>
    <mergeCell ref="G33:H33"/>
    <mergeCell ref="I33:J33"/>
    <mergeCell ref="L33:M33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B17:N17"/>
    <mergeCell ref="O17:P17"/>
    <mergeCell ref="B18:N18"/>
    <mergeCell ref="O18:P18"/>
    <mergeCell ref="B19:N19"/>
    <mergeCell ref="O19:P19"/>
    <mergeCell ref="B14:N14"/>
    <mergeCell ref="O14:P14"/>
    <mergeCell ref="B15:N15"/>
    <mergeCell ref="O15:P15"/>
    <mergeCell ref="B16:N16"/>
    <mergeCell ref="O16:P16"/>
    <mergeCell ref="B10:N10"/>
    <mergeCell ref="O10:P10"/>
    <mergeCell ref="B11:N11"/>
    <mergeCell ref="O11:P11"/>
    <mergeCell ref="B13:N13"/>
    <mergeCell ref="O13:P13"/>
    <mergeCell ref="B7:N7"/>
    <mergeCell ref="O7:P7"/>
    <mergeCell ref="B8:N8"/>
    <mergeCell ref="O8:P8"/>
    <mergeCell ref="B9:N9"/>
    <mergeCell ref="O9:P9"/>
    <mergeCell ref="B1:P1"/>
    <mergeCell ref="B3:I3"/>
    <mergeCell ref="O3:P3"/>
    <mergeCell ref="B5:N5"/>
    <mergeCell ref="O5:P5"/>
    <mergeCell ref="B6:N6"/>
    <mergeCell ref="O6:P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macelleria 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2026-08-27T08:48:25Z</dcterms:created>
  <dcterms:modified xsi:type="dcterms:W3CDTF">2026-08-27T08:48:38Z</dcterms:modified>
</cp:coreProperties>
</file>